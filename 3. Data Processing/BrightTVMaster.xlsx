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002248564\Downloads\Bright TV shop files-20260417T085647Z-3-001\Bright TV shop files\"/>
    </mc:Choice>
  </mc:AlternateContent>
  <xr:revisionPtr revIDLastSave="0" documentId="13_ncr:1_{96C656D8-DEA2-45A0-8315-63A5E29E8B5E}" xr6:coauthVersionLast="47" xr6:coauthVersionMax="47" xr10:uidLastSave="{00000000-0000-0000-0000-000000000000}"/>
  <bookViews>
    <workbookView xWindow="28680" yWindow="-6000" windowWidth="29040" windowHeight="15720" firstSheet="10" activeTab="11" xr2:uid="{CBFE6277-12A9-471B-B315-25DC05C4C718}"/>
  </bookViews>
  <sheets>
    <sheet name="1. Executive Summary" sheetId="1" r:id="rId1"/>
    <sheet name="2. Weekly Consumption Pattern" sheetId="2" r:id="rId2"/>
    <sheet name="3. Hourly Consumption Pattern" sheetId="3" r:id="rId3"/>
    <sheet name="4. Top 10 Channels" sheetId="4" r:id="rId4"/>
    <sheet name="5. Monday vs Saturday Compariso" sheetId="5" r:id="rId5"/>
    <sheet name="6. Top 5 Channels on Monday" sheetId="6" r:id="rId6"/>
    <sheet name="7. User Engagement Tiers" sheetId="7" r:id="rId7"/>
    <sheet name="8. Best Times for Push Notifica" sheetId="8" r:id="rId8"/>
    <sheet name="9. Gender Analysis" sheetId="9" r:id="rId9"/>
    <sheet name="10. Province Analysis" sheetId="10" r:id="rId10"/>
    <sheet name="11. What Channels Perform Best " sheetId="11" r:id="rId11"/>
    <sheet name="12. Who Are the Inactive Use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<sst xmlns="http://schemas.openxmlformats.org/spreadsheetml/2006/main" count="318" uniqueCount="140">
  <si>
    <t>Metric</t>
  </si>
  <si>
    <t>Value</t>
  </si>
  <si>
    <t>Insight</t>
  </si>
  <si>
    <t>Active Users</t>
  </si>
  <si>
    <t>4,386 out of 5,375 total (82% active rate)</t>
  </si>
  <si>
    <t>Total Watch Hours</t>
  </si>
  <si>
    <t>1,523 hours watched in Q1 2016</t>
  </si>
  <si>
    <t>Total Sessions</t>
  </si>
  <si>
    <t>10,000 viewing sessions recorded</t>
  </si>
  <si>
    <t>Avg Session (Minutes)</t>
  </si>
  <si>
    <t>9.1 minutes average - short form content preferred</t>
  </si>
  <si>
    <t>Avg Per User (Minutes)</t>
  </si>
  <si>
    <t>21 minutes per user over 3 months</t>
  </si>
  <si>
    <t>Inactive Users</t>
  </si>
  <si>
    <t>989 users registered but never watched - growth opportunity</t>
  </si>
  <si>
    <t>Day_of_Week</t>
  </si>
  <si>
    <t>Total_Hours</t>
  </si>
  <si>
    <t>Sessions</t>
  </si>
  <si>
    <t>Active_Users</t>
  </si>
  <si>
    <t>Avg_Session_Minutes</t>
  </si>
  <si>
    <t>Sunday</t>
  </si>
  <si>
    <t>Monday</t>
  </si>
  <si>
    <t>Tuesday</t>
  </si>
  <si>
    <t>Wednesday</t>
  </si>
  <si>
    <t>Thursday</t>
  </si>
  <si>
    <t>Friday</t>
  </si>
  <si>
    <t>Saturday</t>
  </si>
  <si>
    <t>Hour_SA_Time</t>
  </si>
  <si>
    <t>Time_Category</t>
  </si>
  <si>
    <t>OFF-PEAK</t>
  </si>
  <si>
    <t>MORNING</t>
  </si>
  <si>
    <t>PEAK TIME</t>
  </si>
  <si>
    <t>EVENING</t>
  </si>
  <si>
    <t>Hour_Count</t>
  </si>
  <si>
    <t>Channel</t>
  </si>
  <si>
    <t>Percentage_Of_Total</t>
  </si>
  <si>
    <t>ICC Cricket World Cup 2011</t>
  </si>
  <si>
    <t>Supersport Live Events</t>
  </si>
  <si>
    <t>Channel O</t>
  </si>
  <si>
    <t>Trace TV</t>
  </si>
  <si>
    <t>SuperSport Blitz</t>
  </si>
  <si>
    <t>Boomerang</t>
  </si>
  <si>
    <t>Cartoon Network</t>
  </si>
  <si>
    <t>CNN</t>
  </si>
  <si>
    <t>Africa Magic</t>
  </si>
  <si>
    <t>E! Entertainment</t>
  </si>
  <si>
    <t>BENCHMARK - Best performing day</t>
  </si>
  <si>
    <t>OPPORTUNITY - Lowest performing day</t>
  </si>
  <si>
    <t>Monday_Hours</t>
  </si>
  <si>
    <t>Monday_Sessions</t>
  </si>
  <si>
    <t>Engagement_Tier</t>
  </si>
  <si>
    <t>User_Count</t>
  </si>
  <si>
    <t>Percentage</t>
  </si>
  <si>
    <t>null</t>
  </si>
  <si>
    <t>Inactive (0 min)</t>
  </si>
  <si>
    <t>Very Light (&lt;30 min)</t>
  </si>
  <si>
    <t>Light (30-120 min)</t>
  </si>
  <si>
    <t>Medium (2-5 hours)</t>
  </si>
  <si>
    <t>Heavy (5+ hours)</t>
  </si>
  <si>
    <t>Engagement_Rank</t>
  </si>
  <si>
    <t>Recommendation</t>
  </si>
  <si>
    <t>BEST TIME - Send notifications here</t>
  </si>
  <si>
    <t>SECONDARY - Good alternative times</t>
  </si>
  <si>
    <t>Gender</t>
  </si>
  <si>
    <t>Number_of_Users</t>
  </si>
  <si>
    <t>Avg_Minutes_Per_User</t>
  </si>
  <si>
    <t>male</t>
  </si>
  <si>
    <t>female</t>
  </si>
  <si>
    <t>Province</t>
  </si>
  <si>
    <t>Avg_Hours_Per_User</t>
  </si>
  <si>
    <t>Gauteng</t>
  </si>
  <si>
    <t>Western Cape</t>
  </si>
  <si>
    <t>Kwazulu Natal</t>
  </si>
  <si>
    <t>Mpumalanga</t>
  </si>
  <si>
    <t>Eastern Cape</t>
  </si>
  <si>
    <t>Monday_Avg_Duration</t>
  </si>
  <si>
    <t>Overall_Avg_Duration</t>
  </si>
  <si>
    <t>Difference</t>
  </si>
  <si>
    <t>Monday_Performance</t>
  </si>
  <si>
    <t>Underperforms on Monday</t>
  </si>
  <si>
    <t>OVERPERFORMS on Monday</t>
  </si>
  <si>
    <t>UserID</t>
  </si>
  <si>
    <t>Name</t>
  </si>
  <si>
    <t>Email</t>
  </si>
  <si>
    <t>Age_Category</t>
  </si>
  <si>
    <t>ChasÂ </t>
  </si>
  <si>
    <t>ChasÂ 351@yahoo.com</t>
  </si>
  <si>
    <t>Free State</t>
  </si>
  <si>
    <t>Middle Age+</t>
  </si>
  <si>
    <t>WilburnÂ </t>
  </si>
  <si>
    <t>WilburnÂ 303@mail.com</t>
  </si>
  <si>
    <t>EmersonÂ </t>
  </si>
  <si>
    <t>EmersonÂ 243@mail.com</t>
  </si>
  <si>
    <t>StacyÂ </t>
  </si>
  <si>
    <t>StacyÂ 273@mail.com</t>
  </si>
  <si>
    <t>RandyÂ </t>
  </si>
  <si>
    <t>RandyÂ 393@mail.com</t>
  </si>
  <si>
    <t>TrudieÂ </t>
  </si>
  <si>
    <t>TrudieÂ 502@gmail.com</t>
  </si>
  <si>
    <t>ChasÂ 352@gmail.com</t>
  </si>
  <si>
    <t>JaredÂ </t>
  </si>
  <si>
    <t>JaredÂ 503@mail.com</t>
  </si>
  <si>
    <t>EmersonÂ 241@yahoo.com</t>
  </si>
  <si>
    <t>Adult</t>
  </si>
  <si>
    <t>AbelÂ </t>
  </si>
  <si>
    <t>AbelÂ 185@mailxyz.com</t>
  </si>
  <si>
    <t>FilibertoÂ </t>
  </si>
  <si>
    <t>FilibertoÂ 43@mail.com</t>
  </si>
  <si>
    <t>ClaudÂ </t>
  </si>
  <si>
    <t>ClaudÂ 345@mailxyz.com</t>
  </si>
  <si>
    <t>ValentineÂ </t>
  </si>
  <si>
    <t>ValentineÂ 471@yahoo.com</t>
  </si>
  <si>
    <t>JacintoÂ </t>
  </si>
  <si>
    <t>JacintoÂ 254@abcmail.com</t>
  </si>
  <si>
    <t>LaneÂ </t>
  </si>
  <si>
    <t>LaneÂ 111@yahoo.com</t>
  </si>
  <si>
    <t>North West</t>
  </si>
  <si>
    <t>TorrieÂ </t>
  </si>
  <si>
    <t>TorrieÂ 71@yahoo.com</t>
  </si>
  <si>
    <t>IrvingÂ </t>
  </si>
  <si>
    <t>IrvingÂ 51@yahoo.com</t>
  </si>
  <si>
    <t>Limpopo</t>
  </si>
  <si>
    <t>EarlÂ </t>
  </si>
  <si>
    <t>EarlÂ 423@mail.com</t>
  </si>
  <si>
    <t>RobbyÂ </t>
  </si>
  <si>
    <t>RobbyÂ 165@mailxyz.com</t>
  </si>
  <si>
    <t>KyleÂ </t>
  </si>
  <si>
    <t>KyleÂ 65@mailxyz.com</t>
  </si>
  <si>
    <t>Inactive_Count</t>
  </si>
  <si>
    <t>Male_Count</t>
  </si>
  <si>
    <t>Female_Count</t>
  </si>
  <si>
    <t>Total_Inactive</t>
  </si>
  <si>
    <t>Active_Viewers</t>
  </si>
  <si>
    <t>Overall health of BrightTV platform showing active users, watch time, and engagement levels</t>
  </si>
  <si>
    <t>Saturday has the highest consumption (296 hours). Monday has the lowest (115 hours) - 61% lower than Saturday.</t>
  </si>
  <si>
    <t>Heading: When Do Users Watch? - Hourly Viewing Pattern
-- Description: Peak viewing is 5PM-7PM (after work/school). 5PM has 648 sessions - the highest of any hour.</t>
  </si>
  <si>
    <t>Sports and Music dominate the top 10. ICC Cricket World Cup leads with 412 hours.
-- Key Insight: Live sports events generate the longest session durations</t>
  </si>
  <si>
    <t>Monday has only 115 hours vs Saturday's 296 hours. This is the biggest growth opportunity.
-- Key Insight: Increasing Monday by just 50% would add 57+ hours per week</t>
  </si>
  <si>
    <t>hese channels already perform well on Mondays. Promote these to boost Monday consumption.</t>
  </si>
  <si>
    <t xml:space="preserve"> PRESENTATION: Content Recommendations for Low Days  Heading: What Content Works on Mondays (Lowest Day)?
Description: Channels that perform well on Monday vs their average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</si>
</sst>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Key Metrics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Executive Summary'!$B$1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'1. Executive Summary'!$A$2:$A$7</c:f>
              <c:strCache>
                <c:ptCount val="6"/>
                <c:pt idx="0">
                  <c:v>Active Users</c:v>
                </c:pt>
                <c:pt idx="1">
                  <c:v>Total Watch Hours</c:v>
                </c:pt>
                <c:pt idx="2">
                  <c:v>Total Sessions</c:v>
                </c:pt>
                <c:pt idx="3">
                  <c:v>Avg Session (Minutes)</c:v>
                </c:pt>
                <c:pt idx="4">
                  <c:v>Avg Per User (Minutes)</c:v>
                </c:pt>
                <c:pt idx="5">
                  <c:v>Inactive Users</c:v>
                </c:pt>
              </c:strCache>
            </c:strRef>
          </c:cat>
          <c:val>
            <c:numRef>
              <c:f>'1. Executive Summary'!$B$2:$B$7</c:f>
              <c:numCache>
                <c:formatCode>General</c:formatCode>
                <c:ptCount val="6"/>
                <c:pt idx="0">
                  <c:v>4386</c:v>
                </c:pt>
                <c:pt idx="1">
                  <c:v>1523</c:v>
                </c:pt>
                <c:pt idx="2">
                  <c:v>10000</c:v>
                </c:pt>
                <c:pt idx="3">
                  <c:v>9.1</c:v>
                </c:pt>
                <c:pt idx="4">
                  <c:v>20.8</c:v>
                </c:pt>
                <c:pt idx="5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B-44BB-A2A9-7FE97281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03373439"/>
        <c:axId val="706971215"/>
      </c:barChart>
      <c:catAx>
        <c:axId val="80337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971215"/>
        <c:crosses val="autoZero"/>
        <c:auto val="1"/>
        <c:lblAlgn val="ctr"/>
        <c:lblOffset val="100"/>
        <c:noMultiLvlLbl val="0"/>
      </c:catAx>
      <c:valAx>
        <c:axId val="70697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37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Weekly Engagement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Weekly Consumption Pattern'!$B$1</c:f>
              <c:strCache>
                <c:ptCount val="1"/>
                <c:pt idx="0">
                  <c:v>Total_Hours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 Weekly Consumption Pattern'!$A$2:$A$8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Weekly Consumption Pattern'!$B$2:$B$8</c:f>
              <c:numCache>
                <c:formatCode>General</c:formatCode>
                <c:ptCount val="7"/>
                <c:pt idx="0">
                  <c:v>194.9</c:v>
                </c:pt>
                <c:pt idx="1">
                  <c:v>114.9</c:v>
                </c:pt>
                <c:pt idx="2">
                  <c:v>198.9</c:v>
                </c:pt>
                <c:pt idx="3">
                  <c:v>234.1</c:v>
                </c:pt>
                <c:pt idx="4">
                  <c:v>232.3</c:v>
                </c:pt>
                <c:pt idx="5">
                  <c:v>251.9</c:v>
                </c:pt>
                <c:pt idx="6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B-401A-8341-6A3CA5498F59}"/>
            </c:ext>
          </c:extLst>
        </c:ser>
        <c:ser>
          <c:idx val="1"/>
          <c:order val="1"/>
          <c:tx>
            <c:strRef>
              <c:f>'2. Weekly Consumption Pattern'!$C$1</c:f>
              <c:strCache>
                <c:ptCount val="1"/>
                <c:pt idx="0">
                  <c:v>Sessions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 Weekly Consumption Pattern'!$A$2:$A$8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Weekly Consumption Pattern'!$C$2:$C$8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B-401A-8341-6A3CA5498F59}"/>
            </c:ext>
          </c:extLst>
        </c:ser>
        <c:ser>
          <c:idx val="2"/>
          <c:order val="2"/>
          <c:tx>
            <c:strRef>
              <c:f>'2. Weekly Consumption Pattern'!$D$1</c:f>
              <c:strCache>
                <c:ptCount val="1"/>
                <c:pt idx="0">
                  <c:v>Active_Users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'2. Weekly Consumption Pattern'!$A$2:$A$8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'2. Weekly Consumption Pattern'!$D$2:$D$8</c:f>
              <c:numCache>
                <c:formatCode>General</c:formatCode>
                <c:ptCount val="7"/>
                <c:pt idx="0">
                  <c:v>1073</c:v>
                </c:pt>
                <c:pt idx="1">
                  <c:v>769</c:v>
                </c:pt>
                <c:pt idx="2">
                  <c:v>1031</c:v>
                </c:pt>
                <c:pt idx="3">
                  <c:v>1197</c:v>
                </c:pt>
                <c:pt idx="4">
                  <c:v>1123</c:v>
                </c:pt>
                <c:pt idx="5">
                  <c:v>1236</c:v>
                </c:pt>
                <c:pt idx="6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B-401A-8341-6A3CA5498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8401599"/>
        <c:axId val="80840207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'2. Weekly Consumption Pattern'!$E$1</c15:sqref>
                        </c15:formulaRef>
                      </c:ext>
                    </c:extLst>
                    <c:strCache>
                      <c:ptCount val="1"/>
                      <c:pt idx="0">
                        <c:v>Avg_Session_Minutes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'2. Weekly Consumption Pattern'!$A$2:$A$8</c15:sqref>
                        </c15:formulaRef>
                      </c:ext>
                    </c:extLst>
                    <c:strCache>
                      <c:ptCount val="7"/>
                      <c:pt idx="0">
                        <c:v>Sunday</c:v>
                      </c:pt>
                      <c:pt idx="1">
                        <c:v>Monday</c:v>
                      </c:pt>
                      <c:pt idx="2">
                        <c:v>Tuesday</c:v>
                      </c:pt>
                      <c:pt idx="3">
                        <c:v>Wednesday</c:v>
                      </c:pt>
                      <c:pt idx="4">
                        <c:v>Thursday</c:v>
                      </c:pt>
                      <c:pt idx="5">
                        <c:v>Friday</c:v>
                      </c:pt>
                      <c:pt idx="6">
                        <c:v>Saturday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 Weekly Consumption Pattern'!$E$2:$E$8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8.1999999999999993</c:v>
                      </c:pt>
                      <c:pt idx="1">
                        <c:v>7.2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9.6999999999999993</c:v>
                      </c:pt>
                      <c:pt idx="5">
                        <c:v>9</c:v>
                      </c:pt>
                      <c:pt idx="6">
                        <c:v>10.9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5FB-401A-8341-6A3CA5498F59}"/>
                  </c:ext>
                </c:extLst>
              </c15:ser>
            </c15:filteredBarSeries>
          </c:ext>
        </c:extLst>
      </c:barChart>
      <c:catAx>
        <c:axId val="80840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02079"/>
        <c:crosses val="autoZero"/>
        <c:auto val="1"/>
        <c:lblAlgn val="ctr"/>
        <c:lblOffset val="100"/>
        <c:noMultiLvlLbl val="0"/>
      </c:catAx>
      <c:valAx>
        <c:axId val="8084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24-Hour Consumption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Sessions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'3. Hourly Consumption Pattern'!$A$2:$A$25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'3. Hourly Consumption Pattern'!$B$2:$B$25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C-4378-9CED-21CB22AA90AF}"/>
            </c:ext>
          </c:extLst>
        </c:ser>
        <c:ser>
          <c:idx val="1"/>
          <c:order val="1"/>
          <c:tx>
            <c:v>Active Users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'3. Hourly Consumption Pattern'!$A$2:$A$25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'3. Hourly Consumption Pattern'!$C$2:$C$25</c:f>
              <c:numCache>
                <c:formatCode>General</c:formatCode>
                <c:ptCount val="24"/>
                <c:pt idx="0">
                  <c:v>163</c:v>
                </c:pt>
                <c:pt idx="1">
                  <c:v>95</c:v>
                </c:pt>
                <c:pt idx="2">
                  <c:v>72</c:v>
                </c:pt>
                <c:pt idx="3">
                  <c:v>54</c:v>
                </c:pt>
                <c:pt idx="4">
                  <c:v>44</c:v>
                </c:pt>
                <c:pt idx="5">
                  <c:v>86</c:v>
                </c:pt>
                <c:pt idx="6">
                  <c:v>156</c:v>
                </c:pt>
                <c:pt idx="7">
                  <c:v>267</c:v>
                </c:pt>
                <c:pt idx="8">
                  <c:v>356</c:v>
                </c:pt>
                <c:pt idx="9">
                  <c:v>361</c:v>
                </c:pt>
                <c:pt idx="10">
                  <c:v>476</c:v>
                </c:pt>
                <c:pt idx="11">
                  <c:v>474</c:v>
                </c:pt>
                <c:pt idx="12">
                  <c:v>571</c:v>
                </c:pt>
                <c:pt idx="13">
                  <c:v>506</c:v>
                </c:pt>
                <c:pt idx="14">
                  <c:v>542</c:v>
                </c:pt>
                <c:pt idx="15">
                  <c:v>557</c:v>
                </c:pt>
                <c:pt idx="16">
                  <c:v>547</c:v>
                </c:pt>
                <c:pt idx="17">
                  <c:v>584</c:v>
                </c:pt>
                <c:pt idx="18">
                  <c:v>562</c:v>
                </c:pt>
                <c:pt idx="19">
                  <c:v>564</c:v>
                </c:pt>
                <c:pt idx="20">
                  <c:v>561</c:v>
                </c:pt>
                <c:pt idx="21">
                  <c:v>513</c:v>
                </c:pt>
                <c:pt idx="22">
                  <c:v>434</c:v>
                </c:pt>
                <c:pt idx="23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C-4378-9CED-21CB22AA90AF}"/>
            </c:ext>
          </c:extLst>
        </c:ser>
        <c:ser>
          <c:idx val="2"/>
          <c:order val="2"/>
          <c:tx>
            <c:v>Total Hours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'3. Hourly Consumption Pattern'!$A$2:$A$25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'3. Hourly Consumption Pattern'!$D$2:$D$25</c:f>
              <c:numCache>
                <c:formatCode>General</c:formatCode>
                <c:ptCount val="24"/>
                <c:pt idx="0">
                  <c:v>25.9</c:v>
                </c:pt>
                <c:pt idx="1">
                  <c:v>10.5</c:v>
                </c:pt>
                <c:pt idx="2">
                  <c:v>21.9</c:v>
                </c:pt>
                <c:pt idx="3">
                  <c:v>10</c:v>
                </c:pt>
                <c:pt idx="4">
                  <c:v>8.4</c:v>
                </c:pt>
                <c:pt idx="5">
                  <c:v>9.9</c:v>
                </c:pt>
                <c:pt idx="6">
                  <c:v>22.5</c:v>
                </c:pt>
                <c:pt idx="7">
                  <c:v>34</c:v>
                </c:pt>
                <c:pt idx="8">
                  <c:v>47.7</c:v>
                </c:pt>
                <c:pt idx="9">
                  <c:v>49.1</c:v>
                </c:pt>
                <c:pt idx="10">
                  <c:v>78.900000000000006</c:v>
                </c:pt>
                <c:pt idx="11">
                  <c:v>89.9</c:v>
                </c:pt>
                <c:pt idx="12">
                  <c:v>112</c:v>
                </c:pt>
                <c:pt idx="13">
                  <c:v>96.3</c:v>
                </c:pt>
                <c:pt idx="14">
                  <c:v>117.5</c:v>
                </c:pt>
                <c:pt idx="15">
                  <c:v>102.6</c:v>
                </c:pt>
                <c:pt idx="16">
                  <c:v>118.4</c:v>
                </c:pt>
                <c:pt idx="17">
                  <c:v>127</c:v>
                </c:pt>
                <c:pt idx="18">
                  <c:v>98.2</c:v>
                </c:pt>
                <c:pt idx="19">
                  <c:v>83.7</c:v>
                </c:pt>
                <c:pt idx="20">
                  <c:v>73.7</c:v>
                </c:pt>
                <c:pt idx="21">
                  <c:v>67.900000000000006</c:v>
                </c:pt>
                <c:pt idx="22">
                  <c:v>63.9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6C-4378-9CED-21CB22AA90AF}"/>
            </c:ext>
          </c:extLst>
        </c:ser>
        <c:ser>
          <c:idx val="3"/>
          <c:order val="3"/>
          <c:tx>
            <c:strRef>
              <c:f>'3. Hourly Consumption Pattern'!$E$1</c:f>
              <c:strCache>
                <c:ptCount val="1"/>
                <c:pt idx="0">
                  <c:v>Avg_Session_Minutes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'3. Hourly Consumption Pattern'!$A$2:$A$25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'3. Hourly Consumption Pattern'!$E$2:$E$25</c:f>
              <c:numCache>
                <c:formatCode>General</c:formatCode>
                <c:ptCount val="24"/>
                <c:pt idx="0">
                  <c:v>8.6</c:v>
                </c:pt>
                <c:pt idx="1">
                  <c:v>6.1</c:v>
                </c:pt>
                <c:pt idx="2">
                  <c:v>16.399999999999999</c:v>
                </c:pt>
                <c:pt idx="3">
                  <c:v>11</c:v>
                </c:pt>
                <c:pt idx="4">
                  <c:v>10.3</c:v>
                </c:pt>
                <c:pt idx="5">
                  <c:v>6.3</c:v>
                </c:pt>
                <c:pt idx="6">
                  <c:v>7.5</c:v>
                </c:pt>
                <c:pt idx="7">
                  <c:v>6.8</c:v>
                </c:pt>
                <c:pt idx="8">
                  <c:v>7.1</c:v>
                </c:pt>
                <c:pt idx="9">
                  <c:v>7.3</c:v>
                </c:pt>
                <c:pt idx="10">
                  <c:v>8.8000000000000007</c:v>
                </c:pt>
                <c:pt idx="11">
                  <c:v>10</c:v>
                </c:pt>
                <c:pt idx="12">
                  <c:v>10.6</c:v>
                </c:pt>
                <c:pt idx="13">
                  <c:v>10.199999999999999</c:v>
                </c:pt>
                <c:pt idx="14">
                  <c:v>11.4</c:v>
                </c:pt>
                <c:pt idx="15">
                  <c:v>9.6999999999999993</c:v>
                </c:pt>
                <c:pt idx="16">
                  <c:v>11.3</c:v>
                </c:pt>
                <c:pt idx="17">
                  <c:v>11.8</c:v>
                </c:pt>
                <c:pt idx="18">
                  <c:v>9.4</c:v>
                </c:pt>
                <c:pt idx="19">
                  <c:v>7.8</c:v>
                </c:pt>
                <c:pt idx="20">
                  <c:v>7.1</c:v>
                </c:pt>
                <c:pt idx="21">
                  <c:v>7</c:v>
                </c:pt>
                <c:pt idx="22">
                  <c:v>7.7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6C-4378-9CED-21CB22AA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143695"/>
        <c:axId val="760140335"/>
      </c:lineChart>
      <c:catAx>
        <c:axId val="7601436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24Hour</a:t>
                </a:r>
                <a:r>
                  <a:rPr lang="en-US" baseline="0"/>
                  <a:t> Timeframe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40335"/>
        <c:crosses val="autoZero"/>
        <c:auto val="1"/>
        <c:lblAlgn val="ctr"/>
        <c:lblOffset val="100"/>
        <c:noMultiLvlLbl val="0"/>
      </c:catAx>
      <c:valAx>
        <c:axId val="7601403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4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17-4CAE-89F8-6E4CAFD1454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17-4CAE-89F8-6E4CAFD1454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17-4CAE-89F8-6E4CAFD1454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17-4CAE-89F8-6E4CAFD145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 Hourly Consumption Pattern'!$L$26:$L$29</c:f>
              <c:strCache>
                <c:ptCount val="4"/>
                <c:pt idx="0">
                  <c:v>OFF-PEAK</c:v>
                </c:pt>
                <c:pt idx="1">
                  <c:v>MORNING</c:v>
                </c:pt>
                <c:pt idx="2">
                  <c:v>PEAK TIME</c:v>
                </c:pt>
                <c:pt idx="3">
                  <c:v>EVENING</c:v>
                </c:pt>
              </c:strCache>
            </c:strRef>
          </c:cat>
          <c:val>
            <c:numRef>
              <c:f>'3. Hourly Consumption Pattern'!$M$26:$M$29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2-479E-8E56-FFA5059E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Channels by Total</a:t>
            </a:r>
            <a:r>
              <a:rPr lang="en-US" baseline="0"/>
              <a:t>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Top 10 Channels'!$B$1</c:f>
              <c:strCache>
                <c:ptCount val="1"/>
                <c:pt idx="0">
                  <c:v>Total_Hours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'4. Top 10 Channels'!$A$2:$A$11</c:f>
              <c:strCache>
                <c:ptCount val="1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</c:strCache>
            </c:strRef>
          </c:cat>
          <c:val>
            <c:numRef>
              <c:f>'4. Top 10 Channels'!$B$2:$B$11</c:f>
              <c:numCache>
                <c:formatCode>General</c:formatCode>
                <c:ptCount val="10"/>
                <c:pt idx="0">
                  <c:v>412.1</c:v>
                </c:pt>
                <c:pt idx="1">
                  <c:v>313.2</c:v>
                </c:pt>
                <c:pt idx="2">
                  <c:v>192.8</c:v>
                </c:pt>
                <c:pt idx="3">
                  <c:v>191.9</c:v>
                </c:pt>
                <c:pt idx="4">
                  <c:v>90.7</c:v>
                </c:pt>
                <c:pt idx="5">
                  <c:v>73.3</c:v>
                </c:pt>
                <c:pt idx="6">
                  <c:v>70.3</c:v>
                </c:pt>
                <c:pt idx="7">
                  <c:v>67.8</c:v>
                </c:pt>
                <c:pt idx="8">
                  <c:v>48.7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3-46AA-9C07-DCBF3781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04948815"/>
        <c:axId val="504947375"/>
      </c:barChart>
      <c:catAx>
        <c:axId val="50494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47375"/>
        <c:crosses val="autoZero"/>
        <c:auto val="1"/>
        <c:lblAlgn val="ctr"/>
        <c:lblOffset val="100"/>
        <c:noMultiLvlLbl val="0"/>
      </c:catAx>
      <c:valAx>
        <c:axId val="50494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4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Monday vs Saturday: Key Metrics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Total_Hours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Monday vs Saturday Compariso'!$A$2:$A$3</c:f>
              <c:strCache>
                <c:ptCount val="2"/>
                <c:pt idx="0">
                  <c:v>Saturday</c:v>
                </c:pt>
                <c:pt idx="1">
                  <c:v>Monday</c:v>
                </c:pt>
              </c:strCache>
            </c:strRef>
          </c:cat>
          <c:val>
            <c:numRef>
              <c:f>'5. Monday vs Saturday Compariso'!$B$2:$B$3</c:f>
              <c:numCache>
                <c:formatCode>General</c:formatCode>
                <c:ptCount val="2"/>
                <c:pt idx="0">
                  <c:v>296</c:v>
                </c:pt>
                <c:pt idx="1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E-42AA-BE56-E1286BF16031}"/>
            </c:ext>
          </c:extLst>
        </c:ser>
        <c:ser>
          <c:idx val="1"/>
          <c:order val="1"/>
          <c:tx>
            <c:v>Sessions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Monday vs Saturday Compariso'!$A$2:$A$3</c:f>
              <c:strCache>
                <c:ptCount val="2"/>
                <c:pt idx="0">
                  <c:v>Saturday</c:v>
                </c:pt>
                <c:pt idx="1">
                  <c:v>Monday</c:v>
                </c:pt>
              </c:strCache>
            </c:strRef>
          </c:cat>
          <c:val>
            <c:numRef>
              <c:f>'5. Monday vs Saturday Compariso'!$C$2:$C$3</c:f>
              <c:numCache>
                <c:formatCode>General</c:formatCode>
                <c:ptCount val="2"/>
                <c:pt idx="0">
                  <c:v>1633</c:v>
                </c:pt>
                <c:pt idx="1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E-42AA-BE56-E1286BF16031}"/>
            </c:ext>
          </c:extLst>
        </c:ser>
        <c:ser>
          <c:idx val="2"/>
          <c:order val="2"/>
          <c:tx>
            <c:v>Active_Users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'5. Monday vs Saturday Compariso'!$A$2:$A$3</c:f>
              <c:strCache>
                <c:ptCount val="2"/>
                <c:pt idx="0">
                  <c:v>Saturday</c:v>
                </c:pt>
                <c:pt idx="1">
                  <c:v>Monday</c:v>
                </c:pt>
              </c:strCache>
            </c:strRef>
          </c:cat>
          <c:val>
            <c:numRef>
              <c:f>'5. Monday vs Saturday Compariso'!$D$2:$D$3</c:f>
              <c:numCache>
                <c:formatCode>General</c:formatCode>
                <c:ptCount val="2"/>
                <c:pt idx="0">
                  <c:v>1219</c:v>
                </c:pt>
                <c:pt idx="1">
                  <c:v>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CE-42AA-BE56-E1286BF16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1982783"/>
        <c:axId val="97197990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Avg_Session_Minutes</c:v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'5. Monday vs Saturday Compariso'!$A$2:$A$3</c15:sqref>
                        </c15:formulaRef>
                      </c:ext>
                    </c:extLst>
                    <c:strCache>
                      <c:ptCount val="2"/>
                      <c:pt idx="0">
                        <c:v>Saturday</c:v>
                      </c:pt>
                      <c:pt idx="1">
                        <c:v>Monday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 Monday vs Saturday Compariso'!$E$2:$E$3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10.9</c:v>
                      </c:pt>
                      <c:pt idx="1">
                        <c:v>7.2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3CE-42AA-BE56-E1286BF16031}"/>
                  </c:ext>
                </c:extLst>
              </c15:ser>
            </c15:filteredBarSeries>
          </c:ext>
        </c:extLst>
      </c:barChart>
      <c:catAx>
        <c:axId val="97198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79903"/>
        <c:crosses val="autoZero"/>
        <c:auto val="1"/>
        <c:lblAlgn val="ctr"/>
        <c:lblOffset val="100"/>
        <c:noMultiLvlLbl val="0"/>
      </c:catAx>
      <c:valAx>
        <c:axId val="9719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8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Performing Channels on Monday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'6. Top 5 Channels on Monday'!$A$2:$A$6</c:f>
              <c:strCache>
                <c:ptCount val="5"/>
                <c:pt idx="0">
                  <c:v>Channel O</c:v>
                </c:pt>
                <c:pt idx="1">
                  <c:v>Trace TV</c:v>
                </c:pt>
                <c:pt idx="2">
                  <c:v>Supersport Live Events</c:v>
                </c:pt>
                <c:pt idx="3">
                  <c:v>ICC Cricket World Cup 2011</c:v>
                </c:pt>
                <c:pt idx="4">
                  <c:v>SuperSport Blitz</c:v>
                </c:pt>
              </c:strCache>
            </c:strRef>
          </c:cat>
          <c:val>
            <c:numRef>
              <c:f>'6. Top 5 Channels on Monday'!$B$2:$B$6</c:f>
              <c:numCache>
                <c:formatCode>General</c:formatCode>
                <c:ptCount val="5"/>
                <c:pt idx="0">
                  <c:v>23.7</c:v>
                </c:pt>
                <c:pt idx="1">
                  <c:v>21.6</c:v>
                </c:pt>
                <c:pt idx="2">
                  <c:v>12.9</c:v>
                </c:pt>
                <c:pt idx="3">
                  <c:v>11.1</c:v>
                </c:pt>
                <c:pt idx="4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5-486B-AFC3-62B390BA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55256927"/>
        <c:axId val="955271327"/>
      </c:barChart>
      <c:catAx>
        <c:axId val="95525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71327"/>
        <c:crosses val="autoZero"/>
        <c:auto val="1"/>
        <c:lblAlgn val="ctr"/>
        <c:lblOffset val="100"/>
        <c:noMultiLvlLbl val="0"/>
      </c:catAx>
      <c:valAx>
        <c:axId val="95527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_Hours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5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User Engagement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FA-4E1D-87E9-9C65D280DA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FA-4E1D-87E9-9C65D280DA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FA-4E1D-87E9-9C65D280DA5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FA-4E1D-87E9-9C65D280DA5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FA-4E1D-87E9-9C65D280DA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 User Engagement Tiers'!$A$3:$A$7</c:f>
              <c:strCache>
                <c:ptCount val="5"/>
                <c:pt idx="0">
                  <c:v>Inactive (0 min)</c:v>
                </c:pt>
                <c:pt idx="1">
                  <c:v>Very Light (&lt;30 min)</c:v>
                </c:pt>
                <c:pt idx="2">
                  <c:v>Light (30-120 min)</c:v>
                </c:pt>
                <c:pt idx="3">
                  <c:v>Medium (2-5 hours)</c:v>
                </c:pt>
                <c:pt idx="4">
                  <c:v>Heavy (5+ hours)</c:v>
                </c:pt>
              </c:strCache>
            </c:strRef>
          </c:cat>
          <c:val>
            <c:numRef>
              <c:f>'7. User Engagement Tiers'!$B$3:$B$7</c:f>
              <c:numCache>
                <c:formatCode>General</c:formatCode>
                <c:ptCount val="5"/>
                <c:pt idx="0">
                  <c:v>268</c:v>
                </c:pt>
                <c:pt idx="1">
                  <c:v>3303</c:v>
                </c:pt>
                <c:pt idx="2">
                  <c:v>655</c:v>
                </c:pt>
                <c:pt idx="3">
                  <c:v>142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1-4FD4-A006-4CCE6611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Optimal Push Notification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Active Users</c:v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'8. Best Times for Push Notifica'!$A$2:$A$6</c:f>
              <c:numCache>
                <c:formatCode>General</c:formatCode>
                <c:ptCount val="5"/>
                <c:pt idx="0">
                  <c:v>17</c:v>
                </c:pt>
                <c:pt idx="1">
                  <c:v>12</c:v>
                </c:pt>
                <c:pt idx="2">
                  <c:v>19</c:v>
                </c:pt>
                <c:pt idx="3">
                  <c:v>18</c:v>
                </c:pt>
                <c:pt idx="4">
                  <c:v>20</c:v>
                </c:pt>
              </c:numCache>
            </c:numRef>
          </c:cat>
          <c:val>
            <c:numRef>
              <c:f>'8. Best Times for Push Notifica'!$B$2:$B$6</c:f>
              <c:numCache>
                <c:formatCode>General</c:formatCode>
                <c:ptCount val="5"/>
                <c:pt idx="0">
                  <c:v>584</c:v>
                </c:pt>
                <c:pt idx="1">
                  <c:v>571</c:v>
                </c:pt>
                <c:pt idx="2">
                  <c:v>564</c:v>
                </c:pt>
                <c:pt idx="3">
                  <c:v>562</c:v>
                </c:pt>
                <c:pt idx="4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B-42D5-87A6-3BC2641ADECE}"/>
            </c:ext>
          </c:extLst>
        </c:ser>
        <c:ser>
          <c:idx val="1"/>
          <c:order val="1"/>
          <c:tx>
            <c:v>Sessions</c:v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'8. Best Times for Push Notifica'!$A$2:$A$6</c:f>
              <c:numCache>
                <c:formatCode>General</c:formatCode>
                <c:ptCount val="5"/>
                <c:pt idx="0">
                  <c:v>17</c:v>
                </c:pt>
                <c:pt idx="1">
                  <c:v>12</c:v>
                </c:pt>
                <c:pt idx="2">
                  <c:v>19</c:v>
                </c:pt>
                <c:pt idx="3">
                  <c:v>18</c:v>
                </c:pt>
                <c:pt idx="4">
                  <c:v>20</c:v>
                </c:pt>
              </c:numCache>
            </c:numRef>
          </c:cat>
          <c:val>
            <c:numRef>
              <c:f>'8. Best Times for Push Notifica'!$C$2:$C$6</c:f>
              <c:numCache>
                <c:formatCode>General</c:formatCode>
                <c:ptCount val="5"/>
                <c:pt idx="0">
                  <c:v>648</c:v>
                </c:pt>
                <c:pt idx="1">
                  <c:v>634</c:v>
                </c:pt>
                <c:pt idx="2">
                  <c:v>647</c:v>
                </c:pt>
                <c:pt idx="3">
                  <c:v>628</c:v>
                </c:pt>
                <c:pt idx="4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B-42D5-87A6-3BC2641A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6096207"/>
        <c:axId val="1116095247"/>
      </c:barChart>
      <c:catAx>
        <c:axId val="111609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 Hour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95247"/>
        <c:crosses val="autoZero"/>
        <c:auto val="1"/>
        <c:lblAlgn val="ctr"/>
        <c:lblOffset val="100"/>
        <c:noMultiLvlLbl val="0"/>
      </c:catAx>
      <c:valAx>
        <c:axId val="11160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9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Comparison: Viewing Habits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male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 Gender Analysis'!$B$1:$E$1</c15:sqref>
                  </c15:fullRef>
                </c:ext>
              </c:extLst>
              <c:f>'9. Gender Analysis'!$B$1:$C$1</c:f>
              <c:strCache>
                <c:ptCount val="2"/>
                <c:pt idx="0">
                  <c:v>Number_of_Users</c:v>
                </c:pt>
                <c:pt idx="1">
                  <c:v>Total_Hours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 Gender Analysis'!$B$2:$E$2</c15:sqref>
                  </c15:fullRef>
                </c:ext>
              </c:extLst>
              <c:f>'9. Gender Analysis'!$B$2:$C$2</c:f>
              <c:numCache>
                <c:formatCode>General</c:formatCode>
                <c:ptCount val="2"/>
                <c:pt idx="0">
                  <c:v>3723</c:v>
                </c:pt>
                <c:pt idx="1">
                  <c:v>1348.2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B-41BD-AC6F-0A7BAE114A32}"/>
            </c:ext>
          </c:extLst>
        </c:ser>
        <c:ser>
          <c:idx val="1"/>
          <c:order val="1"/>
          <c:tx>
            <c:v>female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 Gender Analysis'!$B$1:$E$1</c15:sqref>
                  </c15:fullRef>
                </c:ext>
              </c:extLst>
              <c:f>'9. Gender Analysis'!$B$1:$C$1</c:f>
              <c:strCache>
                <c:ptCount val="2"/>
                <c:pt idx="0">
                  <c:v>Number_of_Users</c:v>
                </c:pt>
                <c:pt idx="1">
                  <c:v>Total_Hours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 Gender Analysis'!$B$3:$E$3</c15:sqref>
                  </c15:fullRef>
                </c:ext>
              </c:extLst>
              <c:f>'9. Gender Analysis'!$B$3:$C$3</c:f>
              <c:numCache>
                <c:formatCode>General</c:formatCode>
                <c:ptCount val="2"/>
                <c:pt idx="0">
                  <c:v>488</c:v>
                </c:pt>
                <c:pt idx="1">
                  <c:v>138.6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B-41BD-AC6F-0A7BAE11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8198351"/>
        <c:axId val="1063728911"/>
      </c:barChart>
      <c:catAx>
        <c:axId val="105819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28911"/>
        <c:crosses val="autoZero"/>
        <c:auto val="1"/>
        <c:lblAlgn val="ctr"/>
        <c:lblOffset val="100"/>
        <c:noMultiLvlLbl val="0"/>
      </c:catAx>
      <c:valAx>
        <c:axId val="10637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9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Provinces: Viewing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'10. Province Analysis'!$B$1</c:f>
              <c:strCache>
                <c:ptCount val="1"/>
                <c:pt idx="0">
                  <c:v>Number_of_Users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'10. Province Analysis'!$A$1:$A$6</c15:sqref>
                  </c15:fullRef>
                </c:ext>
              </c:extLst>
              <c:f>'10. Province Analysis'!$A$2:$A$6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 Province Analysis'!$B$1:$B$6</c15:sqref>
                  </c15:fullRef>
                </c:ext>
              </c:extLst>
              <c:f>'10. Province Analysis'!$B$2:$B$6</c:f>
              <c:numCache>
                <c:formatCode>General</c:formatCode>
                <c:ptCount val="5"/>
                <c:pt idx="0">
                  <c:v>1607</c:v>
                </c:pt>
                <c:pt idx="1">
                  <c:v>770</c:v>
                </c:pt>
                <c:pt idx="2">
                  <c:v>448</c:v>
                </c:pt>
                <c:pt idx="3">
                  <c:v>391</c:v>
                </c:pt>
                <c:pt idx="4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A-40B7-9249-1C71F8A962DE}"/>
            </c:ext>
          </c:extLst>
        </c:ser>
        <c:ser>
          <c:idx val="1"/>
          <c:order val="1"/>
          <c:tx>
            <c:strRef>
              <c:f>'10. Province Analysis'!$C$1</c:f>
              <c:strCache>
                <c:ptCount val="1"/>
                <c:pt idx="0">
                  <c:v>Total_Hours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'10. Province Analysis'!$A$1:$A$6</c15:sqref>
                  </c15:fullRef>
                </c:ext>
              </c:extLst>
              <c:f>'10. Province Analysis'!$A$2:$A$6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 Province Analysis'!$C$1:$C$6</c15:sqref>
                  </c15:fullRef>
                </c:ext>
              </c:extLst>
              <c:f>'10. Province Analysis'!$C$2:$C$6</c:f>
              <c:numCache>
                <c:formatCode>General</c:formatCode>
                <c:ptCount val="5"/>
                <c:pt idx="0">
                  <c:v>553.6</c:v>
                </c:pt>
                <c:pt idx="1">
                  <c:v>300.3</c:v>
                </c:pt>
                <c:pt idx="2">
                  <c:v>158.19999999999999</c:v>
                </c:pt>
                <c:pt idx="3">
                  <c:v>130.69999999999999</c:v>
                </c:pt>
                <c:pt idx="4">
                  <c:v>115.7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A-40B7-9249-1C71F8A962DE}"/>
            </c:ext>
          </c:extLst>
        </c:ser>
        <c:ser>
          <c:idx val="2"/>
          <c:order val="2"/>
          <c:tx>
            <c:strRef>
              <c:f>'10. Province Analysis'!$D$1</c:f>
              <c:strCache>
                <c:ptCount val="1"/>
                <c:pt idx="0">
                  <c:v>Avg_Hours_Per_User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'10. Province Analysis'!$A$1:$A$6</c15:sqref>
                  </c15:fullRef>
                </c:ext>
              </c:extLst>
              <c:f>'10. Province Analysis'!$A$2:$A$6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Eastern Cape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 Province Analysis'!$D$1:$D$6</c15:sqref>
                  </c15:fullRef>
                </c:ext>
              </c:extLst>
              <c:f>'10. Province Analysis'!$D$2:$D$6</c:f>
              <c:numCache>
                <c:formatCode>General</c:formatCode>
                <c:ptCount val="5"/>
                <c:pt idx="0">
                  <c:v>20.7</c:v>
                </c:pt>
                <c:pt idx="1">
                  <c:v>23.4</c:v>
                </c:pt>
                <c:pt idx="2">
                  <c:v>21.2</c:v>
                </c:pt>
                <c:pt idx="3">
                  <c:v>20.100000000000001</c:v>
                </c:pt>
                <c:pt idx="4">
                  <c:v>25.6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0A-40B7-9249-1C71F8A9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10360367"/>
        <c:axId val="1110361327"/>
      </c:barChart>
      <c:catAx>
        <c:axId val="111036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61327"/>
        <c:crosses val="autoZero"/>
        <c:auto val="1"/>
        <c:lblAlgn val="ctr"/>
        <c:lblOffset val="100"/>
        <c:noMultiLvlLbl val="0"/>
      </c:catAx>
      <c:valAx>
        <c:axId val="1110361327"/>
        <c:scaling>
          <c:orientation val="minMax"/>
          <c:max val="170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low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6036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>
                <a:effectLst/>
              </a:rPr>
              <a:t>Channels that perform well on Monday vs their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Monday Avg Duration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'11. What Channels Perform Best '!$A$2:$A$6</c:f>
              <c:strCache>
                <c:ptCount val="5"/>
                <c:pt idx="0">
                  <c:v>Trace TV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SuperSport Blitz</c:v>
                </c:pt>
              </c:strCache>
            </c:strRef>
          </c:cat>
          <c:val>
            <c:numRef>
              <c:f>'11. What Channels Perform Best '!$B$2:$B$6</c:f>
              <c:numCache>
                <c:formatCode>General</c:formatCode>
                <c:ptCount val="5"/>
                <c:pt idx="0">
                  <c:v>11.3</c:v>
                </c:pt>
                <c:pt idx="1">
                  <c:v>10.5</c:v>
                </c:pt>
                <c:pt idx="2">
                  <c:v>9.6999999999999993</c:v>
                </c:pt>
                <c:pt idx="3">
                  <c:v>7.9</c:v>
                </c:pt>
                <c:pt idx="4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7-4191-95CC-B195F3FF9BC8}"/>
            </c:ext>
          </c:extLst>
        </c:ser>
        <c:ser>
          <c:idx val="1"/>
          <c:order val="1"/>
          <c:tx>
            <c:v>Overall Avg Duration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'11. What Channels Perform Best '!$A$2:$A$6</c:f>
              <c:strCache>
                <c:ptCount val="5"/>
                <c:pt idx="0">
                  <c:v>Trace TV</c:v>
                </c:pt>
                <c:pt idx="1">
                  <c:v>Channel O</c:v>
                </c:pt>
                <c:pt idx="2">
                  <c:v>ICC Cricket World Cup 2011</c:v>
                </c:pt>
                <c:pt idx="3">
                  <c:v>Supersport Live Events</c:v>
                </c:pt>
                <c:pt idx="4">
                  <c:v>SuperSport Blitz</c:v>
                </c:pt>
              </c:strCache>
            </c:strRef>
          </c:cat>
          <c:val>
            <c:numRef>
              <c:f>'11. What Channels Perform Best '!$C$2:$C$6</c:f>
              <c:numCache>
                <c:formatCode>General</c:formatCode>
                <c:ptCount val="5"/>
                <c:pt idx="0">
                  <c:v>12.1</c:v>
                </c:pt>
                <c:pt idx="1">
                  <c:v>11</c:v>
                </c:pt>
                <c:pt idx="2">
                  <c:v>16.899999999999999</c:v>
                </c:pt>
                <c:pt idx="3">
                  <c:v>11.5</c:v>
                </c:pt>
                <c:pt idx="4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7-4191-95CC-B195F3FF9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51489055"/>
        <c:axId val="1151483295"/>
      </c:barChart>
      <c:catAx>
        <c:axId val="115148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83295"/>
        <c:crosses val="autoZero"/>
        <c:auto val="1"/>
        <c:lblAlgn val="ctr"/>
        <c:lblOffset val="100"/>
        <c:noMultiLvlLbl val="0"/>
      </c:catAx>
      <c:valAx>
        <c:axId val="115148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8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Inactive Users by Province &amp;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Male_Count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'12. Who Are the Inactive Use'!$M$2:$M$8</c:f>
              <c:strCache>
                <c:ptCount val="7"/>
                <c:pt idx="0">
                  <c:v>Gauteng</c:v>
                </c:pt>
                <c:pt idx="1">
                  <c:v>Eastern Cape</c:v>
                </c:pt>
                <c:pt idx="2">
                  <c:v>Western Cape</c:v>
                </c:pt>
                <c:pt idx="3">
                  <c:v>Free State</c:v>
                </c:pt>
                <c:pt idx="4">
                  <c:v>Kwazulu Natal</c:v>
                </c:pt>
                <c:pt idx="5">
                  <c:v>North West</c:v>
                </c:pt>
                <c:pt idx="6">
                  <c:v>Limpopo</c:v>
                </c:pt>
              </c:strCache>
            </c:strRef>
          </c:cat>
          <c:val>
            <c:numRef>
              <c:f>'12. Who Are the Inactive Use'!$N$2:$N$8</c:f>
              <c:numCache>
                <c:formatCode>General</c:formatCode>
                <c:ptCount val="7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D-40CC-B20D-462A1EB0752C}"/>
            </c:ext>
          </c:extLst>
        </c:ser>
        <c:ser>
          <c:idx val="1"/>
          <c:order val="1"/>
          <c:tx>
            <c:v>Female_Count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'12. Who Are the Inactive Use'!$M$2:$M$8</c:f>
              <c:strCache>
                <c:ptCount val="7"/>
                <c:pt idx="0">
                  <c:v>Gauteng</c:v>
                </c:pt>
                <c:pt idx="1">
                  <c:v>Eastern Cape</c:v>
                </c:pt>
                <c:pt idx="2">
                  <c:v>Western Cape</c:v>
                </c:pt>
                <c:pt idx="3">
                  <c:v>Free State</c:v>
                </c:pt>
                <c:pt idx="4">
                  <c:v>Kwazulu Natal</c:v>
                </c:pt>
                <c:pt idx="5">
                  <c:v>North West</c:v>
                </c:pt>
                <c:pt idx="6">
                  <c:v>Limpopo</c:v>
                </c:pt>
              </c:strCache>
            </c:strRef>
          </c:cat>
          <c:val>
            <c:numRef>
              <c:f>'12. Who Are the Inactive Use'!$O$2:$O$8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D-40CC-B20D-462A1EB0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552815"/>
        <c:axId val="106954273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'12. Who Are the Inactive Use'!$P$1</c15:sqref>
                        </c15:formulaRef>
                      </c:ext>
                    </c:extLst>
                    <c:strCache>
                      <c:ptCount val="1"/>
                      <c:pt idx="0">
                        <c:v>Total_Inactive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'12. Who Are the Inactive Use'!$M$2:$M$8</c15:sqref>
                        </c15:formulaRef>
                      </c:ext>
                    </c:extLst>
                    <c:strCache>
                      <c:ptCount val="7"/>
                      <c:pt idx="0">
                        <c:v>Gauteng</c:v>
                      </c:pt>
                      <c:pt idx="1">
                        <c:v>Eastern Cape</c:v>
                      </c:pt>
                      <c:pt idx="2">
                        <c:v>Western Cape</c:v>
                      </c:pt>
                      <c:pt idx="3">
                        <c:v>Free State</c:v>
                      </c:pt>
                      <c:pt idx="4">
                        <c:v>Kwazulu Natal</c:v>
                      </c:pt>
                      <c:pt idx="5">
                        <c:v>North West</c:v>
                      </c:pt>
                      <c:pt idx="6">
                        <c:v>Limpopo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'12. Who Are the Inactive Use'!$P$2:$P$8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34D-40CC-B20D-462A1EB0752C}"/>
                  </c:ext>
                </c:extLst>
              </c15:ser>
            </c15:filteredBarSeries>
          </c:ext>
        </c:extLst>
      </c:barChart>
      <c:catAx>
        <c:axId val="1069552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42735"/>
        <c:crosses val="autoZero"/>
        <c:auto val="1"/>
        <c:lblAlgn val="ctr"/>
        <c:lblOffset val="100"/>
        <c:noMultiLvlLbl val="0"/>
      </c:catAx>
      <c:valAx>
        <c:axId val="10695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Total_InACTIVE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52815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457200</xdr:colOff>
      <xdr:row>20</xdr:row>
      <xdr:rowOff>81280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DD7D8D-3D88-2203-760E-49A1F18A1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508000</xdr:colOff>
      <xdr:row>23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EA53A-52FD-EE71-73D6-7CFA24392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605790</xdr:colOff>
      <xdr:row>1</xdr:row>
      <xdr:rowOff>1905</xdr:rowOff>
    </xdr:from>
    <xdr:to>
      <xdr:col>18</xdr:col>
      <xdr:colOff>402590</xdr:colOff>
      <xdr:row>23</xdr:row>
      <xdr:rowOff>86360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51B5A-5ADF-E41C-288A-EF14275D1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29</xdr:row>
      <xdr:rowOff>59055</xdr:rowOff>
    </xdr:from>
    <xdr:to>
      <xdr:col>16</xdr:col>
      <xdr:colOff>608330</xdr:colOff>
      <xdr:row>48</xdr:row>
      <xdr:rowOff>168910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ED98AC-39A1-3765-A5B1-93F666D97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596265</xdr:colOff>
      <xdr:row>1</xdr:row>
      <xdr:rowOff>1905</xdr:rowOff>
    </xdr:from>
    <xdr:to>
      <xdr:col>16</xdr:col>
      <xdr:colOff>596265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156C1-233D-3F89-93DB-32A87ECBA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706755</xdr:colOff>
      <xdr:row>1</xdr:row>
      <xdr:rowOff>1905</xdr:rowOff>
    </xdr:from>
    <xdr:to>
      <xdr:col>19</xdr:col>
      <xdr:colOff>567055</xdr:colOff>
      <xdr:row>29</xdr:row>
      <xdr:rowOff>18415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74B59-0126-FED9-5F6F-10BBCF597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596265</xdr:colOff>
      <xdr:row>0</xdr:row>
      <xdr:rowOff>0</xdr:rowOff>
    </xdr:from>
    <xdr:to>
      <xdr:col>15</xdr:col>
      <xdr:colOff>240665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FDACB-DD84-F251-90B2-8EF00998B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607695</xdr:colOff>
      <xdr:row>0</xdr:row>
      <xdr:rowOff>0</xdr:rowOff>
    </xdr:from>
    <xdr:to>
      <xdr:col>15</xdr:col>
      <xdr:colOff>404495</xdr:colOff>
      <xdr:row>25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41154-4F59-EE56-9AFC-06AB145F7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607695</xdr:colOff>
      <xdr:row>0</xdr:row>
      <xdr:rowOff>0</xdr:rowOff>
    </xdr:from>
    <xdr:to>
      <xdr:col>20</xdr:col>
      <xdr:colOff>99695</xdr:colOff>
      <xdr:row>28</xdr:row>
      <xdr:rowOff>16510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D9DAB-E8E3-E9E8-3DEF-AD4CDF783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706755</xdr:colOff>
      <xdr:row>1</xdr:row>
      <xdr:rowOff>1905</xdr:rowOff>
    </xdr:from>
    <xdr:to>
      <xdr:col>18</xdr:col>
      <xdr:colOff>287655</xdr:colOff>
      <xdr:row>29</xdr:row>
      <xdr:rowOff>18415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7416A-8ED1-2F99-F144-2C9F50B8B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588645</xdr:colOff>
      <xdr:row>1</xdr:row>
      <xdr:rowOff>1905</xdr:rowOff>
    </xdr:from>
    <xdr:to>
      <xdr:col>19</xdr:col>
      <xdr:colOff>80645</xdr:colOff>
      <xdr:row>30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F4EB5-9207-C532-143E-C69283F10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0</xdr:row>
      <xdr:rowOff>0</xdr:rowOff>
    </xdr:from>
    <xdr:to>
      <xdr:col>20</xdr:col>
      <xdr:colOff>357505</xdr:colOff>
      <xdr:row>26</xdr:row>
      <xdr:rowOff>122555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DA5A0-A743-C690-C93E-F8CC4121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</xdr:colOff>
      <xdr:row>10</xdr:row>
      <xdr:rowOff>49530</xdr:rowOff>
    </xdr:from>
    <xdr:to>
      <xdr:col>26</xdr:col>
      <xdr:colOff>414655</xdr:colOff>
      <xdr:row>38</xdr:row>
      <xdr:rowOff>56515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2A258-146A-29A0-B8D2-7AED265BF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3E92E-98FB-4B97-899B-6FCE4276E75D}" name="Table5" displayName="Table5" ref="A1:C7" totalsRowShown="0">
  <autoFilter ref="A1:C7" xr:uid="{0F13E92E-98FB-4B97-899B-6FCE4276E75D}"/>
  <tableColumns count="3">
    <tableColumn id="1" xr3:uid="{ABDF29E4-27EF-4757-AA34-B640D6965567}" name="Metric"/>
    <tableColumn id="2" xr3:uid="{4D2924D3-6D24-4347-8906-48A8459F5CDE}" name="Value"/>
    <tableColumn id="3" xr3:uid="{F86B53FD-ADD9-495D-9099-F1EB38876D12}" name="Insigh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C38F79-5837-40B6-86E7-E890F7500C1B}" name="Table4" displayName="Table4" ref="A1:E8" totalsRowShown="0">
  <autoFilter ref="A1:E8" xr:uid="{62C38F79-5837-40B6-86E7-E890F7500C1B}"/>
  <tableColumns count="5">
    <tableColumn id="1" xr3:uid="{C96B058E-9411-435D-81BA-0FFBDAE1D800}" name="Day_of_Week"/>
    <tableColumn id="2" xr3:uid="{FCD8F79A-DC0F-45DF-8370-B0C90D9C2ECB}" name="Total_Hours"/>
    <tableColumn id="3" xr3:uid="{356CED8C-1B46-48F4-9F3B-1FBA5E96A22C}" name="Sessions"/>
    <tableColumn id="4" xr3:uid="{F8E2182E-4CBE-49BC-9DB7-CBF6FC07E6E2}" name="Active_Users"/>
    <tableColumn id="5" xr3:uid="{B7037883-ED4A-4D5D-9DD4-A59B72BB3223}" name="Avg_Session_Minutes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508BB-4473-4BA6-AC8C-351242978B58}" name="Table1" displayName="Table1" ref="A1:F25" totalsRowShown="0">
  <autoFilter ref="A1:F25" xr:uid="{DEB508BB-4473-4BA6-AC8C-351242978B58}"/>
  <tableColumns count="6">
    <tableColumn id="1" xr3:uid="{4583208A-2801-4964-B92A-04189D4CB289}" name="Hour_SA_Time"/>
    <tableColumn id="2" xr3:uid="{011971C3-A254-4EC8-BB28-CCE85878FF5C}" name="Sessions"/>
    <tableColumn id="3" xr3:uid="{1D164727-B262-4EAD-BCC8-CC9C09484BF0}" name="Active_Users"/>
    <tableColumn id="4" xr3:uid="{299CE272-C05B-40D3-80F8-6837DF2E5B35}" name="Total_Hours"/>
    <tableColumn id="5" xr3:uid="{D53E2DA5-995E-483B-AB1F-0732F6245C55}" name="Avg_Session_Minutes"/>
    <tableColumn id="6" xr3:uid="{4C62353E-DE79-4C34-A80E-1F30FBDFC908}" name="Time_Category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2289A-9718-4ADA-A822-5CBBEAB789D1}" name="Table2" displayName="Table2" ref="A1:F11" totalsRowShown="0">
  <autoFilter ref="A1:F11" xr:uid="{1B82289A-9718-4ADA-A822-5CBBEAB789D1}"/>
  <tableColumns count="6">
    <tableColumn id="1" xr3:uid="{9F57EDA9-8037-45A7-91D8-639B5B9DA71A}" name="Channel"/>
    <tableColumn id="2" xr3:uid="{5542D58B-566D-45A8-923C-2DC48898D291}" name="Total_Hours"/>
    <tableColumn id="3" xr3:uid="{1A1C7B5E-5AA0-49CF-9FE0-199D85308734}" name="Sessions"/>
    <tableColumn id="4" xr3:uid="{328099AC-5DA3-4C53-813D-B77B741B5781}" name="Active_Viewers"/>
    <tableColumn id="5" xr3:uid="{32A1DFA6-6472-4AE2-81EE-3E88AE3DDEE9}" name="Avg_Session_Minutes"/>
    <tableColumn id="6" xr3:uid="{D6D879DD-9922-42F7-853F-FFC1E561CBD4}" name="Percentage_Of_Total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7D615-AD47-4496-A839-BF6B5085B419}" name="Table3" displayName="Table3" ref="A1:F3" totalsRowShown="0">
  <autoFilter ref="A1:F3" xr:uid="{9747D615-AD47-4496-A839-BF6B5085B419}"/>
  <tableColumns count="6">
    <tableColumn id="1" xr3:uid="{4BBCAA29-D459-4C8F-A3C3-B5DED8AB90D3}" name="Day_of_Week"/>
    <tableColumn id="2" xr3:uid="{AF889CA7-5383-423A-9053-61F256EA0E6F}" name="Total_Hours"/>
    <tableColumn id="3" xr3:uid="{B06B7DEA-DCF3-4EDA-A037-CE514D81E1D4}" name="Sessions"/>
    <tableColumn id="4" xr3:uid="{8AB84AB5-C345-4A10-8DF2-1FDCD606F292}" name="Active_Users"/>
    <tableColumn id="5" xr3:uid="{9EC442CD-DD85-45A6-9018-9D0A31ACD5F1}" name="Avg_Session_Minutes"/>
    <tableColumn id="6" xr3:uid="{F20D6160-7F80-44FE-B072-61B153FDFE23}" name="Insight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996556-F74A-4F3E-A7C9-827793722C93}" name="Table6" displayName="Table6" ref="A1:D6" totalsRowShown="0">
  <autoFilter ref="A1:D6" xr:uid="{18996556-F74A-4F3E-A7C9-827793722C93}"/>
  <tableColumns count="4">
    <tableColumn id="1" xr3:uid="{2561FD0B-7D98-48B3-B390-1581AD0C9EE8}" name="Channel"/>
    <tableColumn id="2" xr3:uid="{5A73078E-FF82-4191-BB33-E366C2AAEE8B}" name="Monday_Hours"/>
    <tableColumn id="3" xr3:uid="{D48E7CC9-BD18-43E9-B442-632475F1E436}" name="Monday_Sessions"/>
    <tableColumn id="4" xr3:uid="{CD0E508F-8258-4D6A-ADA9-042E29D81C41}" name="Avg_Session_Minutes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A8BFA4-E512-4DB4-A466-09A06D79CD76}" name="Table7" displayName="Table7" ref="A1:C7" totalsRowShown="0">
  <autoFilter ref="A1:C7" xr:uid="{DCA8BFA4-E512-4DB4-A466-09A06D79CD76}"/>
  <tableColumns count="3">
    <tableColumn id="1" xr3:uid="{CBCCB8DC-F170-4EB4-9EFD-480DDF59506D}" name="Engagement_Tier"/>
    <tableColumn id="2" xr3:uid="{0F4058A9-9D21-4B6E-BEB4-B38DC499A58A}" name="User_Count"/>
    <tableColumn id="3" xr3:uid="{A0251536-BC33-4722-844B-3391AAC41A82}" name="Percentag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E36293-F443-4FC9-AA96-A1F010EFEF61}" name="Table8" displayName="Table8" ref="A1:E6" totalsRowShown="0">
  <autoFilter ref="A1:E6" xr:uid="{F2E36293-F443-4FC9-AA96-A1F010EFEF61}"/>
  <tableColumns count="5">
    <tableColumn id="1" xr3:uid="{0D7CD041-1B32-4309-9458-89F886CD547F}" name="Hour_SA_Time"/>
    <tableColumn id="2" xr3:uid="{56983349-E7CB-45F4-872B-560B5355AC43}" name="Active_Users"/>
    <tableColumn id="3" xr3:uid="{1118ADE6-24E8-4A50-80FA-37928DF2C59E}" name="Sessions"/>
    <tableColumn id="4" xr3:uid="{804C687F-AEC9-47B1-A253-680D07B61861}" name="Engagement_Rank"/>
    <tableColumn id="5" xr3:uid="{EEBFD701-E898-4130-B968-A9AB7A62085A}" name="Recommendation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4E4A58-10BE-4E7B-BB1E-CB6A363A70EA}" name="Table9" displayName="Table9" ref="A1:E3" totalsRowShown="0">
  <autoFilter ref="A1:E3" xr:uid="{7C4E4A58-10BE-4E7B-BB1E-CB6A363A70EA}"/>
  <tableColumns count="5">
    <tableColumn id="1" xr3:uid="{2C2DFBF2-E637-418E-95E3-86747A90B57E}" name="Gender"/>
    <tableColumn id="2" xr3:uid="{90546259-31DE-4FED-8A79-FA4B9056225C}" name="Number_of_Users"/>
    <tableColumn id="3" xr3:uid="{191671EB-9E3F-4D38-9EF2-4030D599BD08}" name="Total_Hours"/>
    <tableColumn id="4" xr3:uid="{9FACD1B8-13A2-44FC-8665-67B0026261E5}" name="Avg_Minutes_Per_User"/>
    <tableColumn id="5" xr3:uid="{D6B716D2-E1ED-400F-BAE9-30CB04F261F8}" name="Avg_Session_Minutes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5DC0F3-02EC-4C9D-94BD-D82BA327845E}" name="Table10" displayName="Table10" ref="A1:D6" totalsRowShown="0">
  <autoFilter ref="A1:D6" xr:uid="{FB5DC0F3-02EC-4C9D-94BD-D82BA327845E}"/>
  <tableColumns count="4">
    <tableColumn id="1" xr3:uid="{53A353C3-BB89-4C9B-82CE-36FFE545438C}" name="Province"/>
    <tableColumn id="2" xr3:uid="{780205AA-C811-4F97-B5CA-23F05BF81D4A}" name="Number_of_Users"/>
    <tableColumn id="3" xr3:uid="{7711104A-E981-46E3-96F3-8DCC31F20CA3}" name="Total_Hours"/>
    <tableColumn id="4" xr3:uid="{7B68C084-A967-4B18-A298-2553DD45DDA2}" name="Avg_Hours_Per_User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C5C64C-9D7D-46BB-A52E-9E0D3C892BE0}" name="Table11" displayName="Table11" ref="A1:E6" totalsRowShown="0">
  <autoFilter ref="A1:E6" xr:uid="{F1C5C64C-9D7D-46BB-A52E-9E0D3C892BE0}"/>
  <tableColumns count="5">
    <tableColumn id="1" xr3:uid="{63B10F1F-050A-43ED-A9C9-B706070808F8}" name="Channel"/>
    <tableColumn id="2" xr3:uid="{E578819B-26A1-4F5A-93E6-D1C2FFFFC3DD}" name="Monday_Avg_Duration"/>
    <tableColumn id="3" xr3:uid="{4DFE8528-45BD-4352-B302-9826FE435545}" name="Overall_Avg_Duration"/>
    <tableColumn id="4" xr3:uid="{6BDA98A4-447B-4F69-BAE3-845A438DC619}" name="Difference"/>
    <tableColumn id="5" xr3:uid="{C1C632CF-116B-4E9C-B5E5-FEA3243598EF}" name="Monday_Performance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7BF845-493E-42AB-BC00-42256DDB542C}" name="Table12" displayName="Table12" ref="A1:F21" totalsRowShown="0">
  <autoFilter ref="A1:F21" xr:uid="{2E7BF845-493E-42AB-BC00-42256DDB542C}"/>
  <tableColumns count="6">
    <tableColumn id="1" xr3:uid="{E7B4D31A-7F6A-42D0-935B-1C05A775283C}" name="UserID"/>
    <tableColumn id="2" xr3:uid="{BC5AA2AA-DDF1-4D67-A880-DFB4D7B07B26}" name="Name"/>
    <tableColumn id="3" xr3:uid="{DC4F74B2-BB56-41CF-807C-53CABA7023B3}" name="Email"/>
    <tableColumn id="4" xr3:uid="{BE7DA203-64F1-4DDD-BF97-5420FEAB0D6A}" name="Province"/>
    <tableColumn id="5" xr3:uid="{6F311D8C-492B-45C8-83F8-567132F4A966}" name="Gender"/>
    <tableColumn id="6" xr3:uid="{9C1E5539-2FD9-474F-AF2B-9AF98F59EEFA}" name="Age_Categor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7B976D-7E6D-45CA-90F5-BE25EEEE214A}">
  <we:reference id="wa200008745" version="1.0.0.0" store="en-US" storeType="OMEX"/>
  <we:alternateReferences>
    <we:reference id="WA200008745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F36D-EA5F-4B38-B9D8-78E5A1FF6988}">
  <dimension ref="A1:C9"/>
  <sheetViews>
    <sheetView workbookViewId="0">
      <selection sqref="A1:C9"/>
    </sheetView>
  </sheetViews>
  <sheetFormatPr defaultRowHeight="15" x14ac:dyDescent="0.25"/>
  <cols>
    <col min="1" max="1" width="22.28515625" customWidth="1"/>
    <col min="2" max="2" width="10.7109375" customWidth="1"/>
    <col min="3" max="3" width="5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4386</v>
      </c>
      <c r="C2" t="s">
        <v>4</v>
      </c>
    </row>
    <row r="3" spans="1:3" x14ac:dyDescent="0.25">
      <c r="A3" t="s">
        <v>5</v>
      </c>
      <c r="B3">
        <v>1523</v>
      </c>
      <c r="C3" t="s">
        <v>6</v>
      </c>
    </row>
    <row r="4" spans="1:3" x14ac:dyDescent="0.25">
      <c r="A4" t="s">
        <v>7</v>
      </c>
      <c r="B4">
        <v>10000</v>
      </c>
      <c r="C4" t="s">
        <v>8</v>
      </c>
    </row>
    <row r="5" spans="1:3" x14ac:dyDescent="0.25">
      <c r="A5" t="s">
        <v>9</v>
      </c>
      <c r="B5">
        <v>9.1</v>
      </c>
      <c r="C5" t="s">
        <v>10</v>
      </c>
    </row>
    <row r="6" spans="1:3" x14ac:dyDescent="0.25">
      <c r="A6" t="s">
        <v>11</v>
      </c>
      <c r="B6">
        <v>20.8</v>
      </c>
      <c r="C6" t="s">
        <v>12</v>
      </c>
    </row>
    <row r="7" spans="1:3" x14ac:dyDescent="0.25">
      <c r="A7" t="s">
        <v>13</v>
      </c>
      <c r="B7">
        <v>989</v>
      </c>
      <c r="C7" t="s">
        <v>14</v>
      </c>
    </row>
    <row r="9" spans="1:3" x14ac:dyDescent="0.25">
      <c r="A9" t="s">
        <v>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98A2-8E35-4C91-84C1-D4DAD67E1676}">
  <dimension ref="A1:E25"/>
  <sheetViews>
    <sheetView zoomScaleNormal="100" workbookViewId="0">
      <selection activeCell="E16" sqref="E16"/>
    </sheetView>
  </sheetViews>
  <sheetFormatPr defaultRowHeight="15" x14ac:dyDescent="0.25"/>
  <cols>
    <col min="1" max="1" width="14" customWidth="1"/>
    <col min="2" max="2" width="13.28515625" customWidth="1"/>
    <col min="3" max="3" width="10.5703125" customWidth="1"/>
    <col min="4" max="4" width="13.7109375" customWidth="1"/>
    <col min="5" max="5" width="21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20</v>
      </c>
      <c r="B2">
        <v>194.9</v>
      </c>
      <c r="C2">
        <v>1419</v>
      </c>
      <c r="D2">
        <v>1073</v>
      </c>
      <c r="E2">
        <v>8.1999999999999993</v>
      </c>
    </row>
    <row r="3" spans="1:5" x14ac:dyDescent="0.25">
      <c r="A3" t="s">
        <v>21</v>
      </c>
      <c r="B3">
        <v>114.9</v>
      </c>
      <c r="C3">
        <v>957</v>
      </c>
      <c r="D3">
        <v>769</v>
      </c>
      <c r="E3">
        <v>7.2</v>
      </c>
    </row>
    <row r="4" spans="1:5" x14ac:dyDescent="0.25">
      <c r="A4" t="s">
        <v>22</v>
      </c>
      <c r="B4">
        <v>198.9</v>
      </c>
      <c r="C4">
        <v>1322</v>
      </c>
      <c r="D4">
        <v>1031</v>
      </c>
      <c r="E4">
        <v>9</v>
      </c>
    </row>
    <row r="5" spans="1:5" x14ac:dyDescent="0.25">
      <c r="A5" t="s">
        <v>23</v>
      </c>
      <c r="B5">
        <v>234.1</v>
      </c>
      <c r="C5">
        <v>1553</v>
      </c>
      <c r="D5">
        <v>1197</v>
      </c>
      <c r="E5">
        <v>9</v>
      </c>
    </row>
    <row r="6" spans="1:5" x14ac:dyDescent="0.25">
      <c r="A6" t="s">
        <v>24</v>
      </c>
      <c r="B6">
        <v>232.3</v>
      </c>
      <c r="C6">
        <v>1441</v>
      </c>
      <c r="D6">
        <v>1123</v>
      </c>
      <c r="E6">
        <v>9.6999999999999993</v>
      </c>
    </row>
    <row r="7" spans="1:5" x14ac:dyDescent="0.25">
      <c r="A7" t="s">
        <v>25</v>
      </c>
      <c r="B7">
        <v>251.9</v>
      </c>
      <c r="C7">
        <v>1675</v>
      </c>
      <c r="D7">
        <v>1236</v>
      </c>
      <c r="E7">
        <v>9</v>
      </c>
    </row>
    <row r="8" spans="1:5" x14ac:dyDescent="0.25">
      <c r="A8" t="s">
        <v>26</v>
      </c>
      <c r="B8">
        <v>296</v>
      </c>
      <c r="C8">
        <v>1633</v>
      </c>
      <c r="D8">
        <v>1219</v>
      </c>
      <c r="E8">
        <v>10.9</v>
      </c>
    </row>
    <row r="25" spans="1:1" x14ac:dyDescent="0.25">
      <c r="A25" t="s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4961-6DD2-490E-A59B-D36F0EAB7C68}">
  <dimension ref="A1:M30"/>
  <sheetViews>
    <sheetView workbookViewId="0">
      <selection activeCell="A28" sqref="A28"/>
    </sheetView>
  </sheetViews>
  <sheetFormatPr defaultRowHeight="15" x14ac:dyDescent="0.25"/>
  <cols>
    <col min="1" max="1" width="17.140625" customWidth="1"/>
    <col min="2" max="2" width="10.5703125" customWidth="1"/>
    <col min="3" max="3" width="16.28515625" customWidth="1"/>
    <col min="4" max="4" width="14.42578125" customWidth="1"/>
    <col min="5" max="5" width="22.28515625" customWidth="1"/>
    <col min="6" max="6" width="18" customWidth="1"/>
  </cols>
  <sheetData>
    <row r="1" spans="1:6" x14ac:dyDescent="0.25">
      <c r="A1" t="s">
        <v>27</v>
      </c>
      <c r="B1" t="s">
        <v>17</v>
      </c>
      <c r="C1" t="s">
        <v>18</v>
      </c>
      <c r="D1" t="s">
        <v>16</v>
      </c>
      <c r="E1" t="s">
        <v>19</v>
      </c>
      <c r="F1" t="s">
        <v>28</v>
      </c>
    </row>
    <row r="2" spans="1:6" x14ac:dyDescent="0.25">
      <c r="A2">
        <v>0</v>
      </c>
      <c r="B2">
        <v>180</v>
      </c>
      <c r="C2">
        <v>163</v>
      </c>
      <c r="D2">
        <v>25.9</v>
      </c>
      <c r="E2">
        <v>8.6</v>
      </c>
      <c r="F2" t="s">
        <v>29</v>
      </c>
    </row>
    <row r="3" spans="1:6" x14ac:dyDescent="0.25">
      <c r="A3">
        <v>1</v>
      </c>
      <c r="B3">
        <v>103</v>
      </c>
      <c r="C3">
        <v>95</v>
      </c>
      <c r="D3">
        <v>10.5</v>
      </c>
      <c r="E3">
        <v>6.1</v>
      </c>
      <c r="F3" t="s">
        <v>29</v>
      </c>
    </row>
    <row r="4" spans="1:6" x14ac:dyDescent="0.25">
      <c r="A4">
        <v>2</v>
      </c>
      <c r="B4">
        <v>80</v>
      </c>
      <c r="C4">
        <v>72</v>
      </c>
      <c r="D4">
        <v>21.9</v>
      </c>
      <c r="E4">
        <v>16.399999999999999</v>
      </c>
      <c r="F4" t="s">
        <v>29</v>
      </c>
    </row>
    <row r="5" spans="1:6" x14ac:dyDescent="0.25">
      <c r="A5">
        <v>3</v>
      </c>
      <c r="B5">
        <v>55</v>
      </c>
      <c r="C5">
        <v>54</v>
      </c>
      <c r="D5">
        <v>10</v>
      </c>
      <c r="E5">
        <v>11</v>
      </c>
      <c r="F5" t="s">
        <v>29</v>
      </c>
    </row>
    <row r="6" spans="1:6" x14ac:dyDescent="0.25">
      <c r="A6">
        <v>4</v>
      </c>
      <c r="B6">
        <v>49</v>
      </c>
      <c r="C6">
        <v>44</v>
      </c>
      <c r="D6">
        <v>8.4</v>
      </c>
      <c r="E6">
        <v>10.3</v>
      </c>
      <c r="F6" t="s">
        <v>29</v>
      </c>
    </row>
    <row r="7" spans="1:6" x14ac:dyDescent="0.25">
      <c r="A7">
        <v>5</v>
      </c>
      <c r="B7">
        <v>94</v>
      </c>
      <c r="C7">
        <v>86</v>
      </c>
      <c r="D7">
        <v>9.9</v>
      </c>
      <c r="E7">
        <v>6.3</v>
      </c>
      <c r="F7" t="s">
        <v>29</v>
      </c>
    </row>
    <row r="8" spans="1:6" x14ac:dyDescent="0.25">
      <c r="A8">
        <v>6</v>
      </c>
      <c r="B8">
        <v>180</v>
      </c>
      <c r="C8">
        <v>156</v>
      </c>
      <c r="D8">
        <v>22.5</v>
      </c>
      <c r="E8">
        <v>7.5</v>
      </c>
      <c r="F8" t="s">
        <v>30</v>
      </c>
    </row>
    <row r="9" spans="1:6" x14ac:dyDescent="0.25">
      <c r="A9">
        <v>7</v>
      </c>
      <c r="B9">
        <v>298</v>
      </c>
      <c r="C9">
        <v>267</v>
      </c>
      <c r="D9">
        <v>34</v>
      </c>
      <c r="E9">
        <v>6.8</v>
      </c>
      <c r="F9" t="s">
        <v>30</v>
      </c>
    </row>
    <row r="10" spans="1:6" x14ac:dyDescent="0.25">
      <c r="A10">
        <v>8</v>
      </c>
      <c r="B10">
        <v>401</v>
      </c>
      <c r="C10">
        <v>356</v>
      </c>
      <c r="D10">
        <v>47.7</v>
      </c>
      <c r="E10">
        <v>7.1</v>
      </c>
      <c r="F10" t="s">
        <v>30</v>
      </c>
    </row>
    <row r="11" spans="1:6" x14ac:dyDescent="0.25">
      <c r="A11">
        <v>9</v>
      </c>
      <c r="B11">
        <v>402</v>
      </c>
      <c r="C11">
        <v>361</v>
      </c>
      <c r="D11">
        <v>49.1</v>
      </c>
      <c r="E11">
        <v>7.3</v>
      </c>
      <c r="F11" t="s">
        <v>30</v>
      </c>
    </row>
    <row r="12" spans="1:6" x14ac:dyDescent="0.25">
      <c r="A12">
        <v>10</v>
      </c>
      <c r="B12">
        <v>541</v>
      </c>
      <c r="C12">
        <v>476</v>
      </c>
      <c r="D12">
        <v>78.900000000000006</v>
      </c>
      <c r="E12">
        <v>8.8000000000000007</v>
      </c>
      <c r="F12" t="s">
        <v>30</v>
      </c>
    </row>
    <row r="13" spans="1:6" x14ac:dyDescent="0.25">
      <c r="A13">
        <v>11</v>
      </c>
      <c r="B13">
        <v>539</v>
      </c>
      <c r="C13">
        <v>474</v>
      </c>
      <c r="D13">
        <v>89.9</v>
      </c>
      <c r="E13">
        <v>10</v>
      </c>
      <c r="F13" t="s">
        <v>30</v>
      </c>
    </row>
    <row r="14" spans="1:6" x14ac:dyDescent="0.25">
      <c r="A14">
        <v>12</v>
      </c>
      <c r="B14">
        <v>634</v>
      </c>
      <c r="C14">
        <v>571</v>
      </c>
      <c r="D14">
        <v>112</v>
      </c>
      <c r="E14">
        <v>10.6</v>
      </c>
      <c r="F14" t="s">
        <v>29</v>
      </c>
    </row>
    <row r="15" spans="1:6" x14ac:dyDescent="0.25">
      <c r="A15">
        <v>13</v>
      </c>
      <c r="B15">
        <v>568</v>
      </c>
      <c r="C15">
        <v>506</v>
      </c>
      <c r="D15">
        <v>96.3</v>
      </c>
      <c r="E15">
        <v>10.199999999999999</v>
      </c>
      <c r="F15" t="s">
        <v>29</v>
      </c>
    </row>
    <row r="16" spans="1:6" x14ac:dyDescent="0.25">
      <c r="A16">
        <v>14</v>
      </c>
      <c r="B16">
        <v>620</v>
      </c>
      <c r="C16">
        <v>542</v>
      </c>
      <c r="D16">
        <v>117.5</v>
      </c>
      <c r="E16">
        <v>11.4</v>
      </c>
      <c r="F16" t="s">
        <v>29</v>
      </c>
    </row>
    <row r="17" spans="1:13" x14ac:dyDescent="0.25">
      <c r="A17">
        <v>15</v>
      </c>
      <c r="B17">
        <v>637</v>
      </c>
      <c r="C17">
        <v>557</v>
      </c>
      <c r="D17">
        <v>102.6</v>
      </c>
      <c r="E17">
        <v>9.6999999999999993</v>
      </c>
      <c r="F17" t="s">
        <v>31</v>
      </c>
    </row>
    <row r="18" spans="1:13" x14ac:dyDescent="0.25">
      <c r="A18">
        <v>16</v>
      </c>
      <c r="B18">
        <v>627</v>
      </c>
      <c r="C18">
        <v>547</v>
      </c>
      <c r="D18">
        <v>118.4</v>
      </c>
      <c r="E18">
        <v>11.3</v>
      </c>
      <c r="F18" t="s">
        <v>31</v>
      </c>
    </row>
    <row r="19" spans="1:13" x14ac:dyDescent="0.25">
      <c r="A19">
        <v>17</v>
      </c>
      <c r="B19">
        <v>648</v>
      </c>
      <c r="C19">
        <v>584</v>
      </c>
      <c r="D19">
        <v>127</v>
      </c>
      <c r="E19">
        <v>11.8</v>
      </c>
      <c r="F19" t="s">
        <v>31</v>
      </c>
    </row>
    <row r="20" spans="1:13" x14ac:dyDescent="0.25">
      <c r="A20">
        <v>18</v>
      </c>
      <c r="B20">
        <v>628</v>
      </c>
      <c r="C20">
        <v>562</v>
      </c>
      <c r="D20">
        <v>98.2</v>
      </c>
      <c r="E20">
        <v>9.4</v>
      </c>
      <c r="F20" t="s">
        <v>31</v>
      </c>
    </row>
    <row r="21" spans="1:13" x14ac:dyDescent="0.25">
      <c r="A21">
        <v>19</v>
      </c>
      <c r="B21">
        <v>647</v>
      </c>
      <c r="C21">
        <v>564</v>
      </c>
      <c r="D21">
        <v>83.7</v>
      </c>
      <c r="E21">
        <v>7.8</v>
      </c>
      <c r="F21" t="s">
        <v>31</v>
      </c>
    </row>
    <row r="22" spans="1:13" x14ac:dyDescent="0.25">
      <c r="A22">
        <v>20</v>
      </c>
      <c r="B22">
        <v>622</v>
      </c>
      <c r="C22">
        <v>561</v>
      </c>
      <c r="D22">
        <v>73.7</v>
      </c>
      <c r="E22">
        <v>7.1</v>
      </c>
      <c r="F22" t="s">
        <v>32</v>
      </c>
    </row>
    <row r="23" spans="1:13" x14ac:dyDescent="0.25">
      <c r="A23">
        <v>21</v>
      </c>
      <c r="B23">
        <v>585</v>
      </c>
      <c r="C23">
        <v>513</v>
      </c>
      <c r="D23">
        <v>67.900000000000006</v>
      </c>
      <c r="E23">
        <v>7</v>
      </c>
      <c r="F23" t="s">
        <v>32</v>
      </c>
    </row>
    <row r="24" spans="1:13" x14ac:dyDescent="0.25">
      <c r="A24">
        <v>22</v>
      </c>
      <c r="B24">
        <v>498</v>
      </c>
      <c r="C24">
        <v>434</v>
      </c>
      <c r="D24">
        <v>63.9</v>
      </c>
      <c r="E24">
        <v>7.7</v>
      </c>
      <c r="F24" t="s">
        <v>32</v>
      </c>
    </row>
    <row r="25" spans="1:13" ht="30" x14ac:dyDescent="0.25">
      <c r="A25">
        <v>23</v>
      </c>
      <c r="B25">
        <v>364</v>
      </c>
      <c r="C25">
        <v>317</v>
      </c>
      <c r="D25">
        <v>53</v>
      </c>
      <c r="E25">
        <v>8.6999999999999993</v>
      </c>
      <c r="F25" t="s">
        <v>32</v>
      </c>
      <c r="L25" s="1" t="s">
        <v>28</v>
      </c>
      <c r="M25" s="1" t="s">
        <v>33</v>
      </c>
    </row>
    <row r="26" spans="1:13" x14ac:dyDescent="0.25">
      <c r="L26" t="s">
        <v>29</v>
      </c>
      <c r="M26">
        <v>6</v>
      </c>
    </row>
    <row r="27" spans="1:13" x14ac:dyDescent="0.25">
      <c r="L27" t="s">
        <v>30</v>
      </c>
      <c r="M27">
        <v>6</v>
      </c>
    </row>
    <row r="28" spans="1:13" x14ac:dyDescent="0.25">
      <c r="A28" s="2" t="s">
        <v>135</v>
      </c>
      <c r="L28" t="s">
        <v>31</v>
      </c>
      <c r="M28">
        <v>5</v>
      </c>
    </row>
    <row r="29" spans="1:13" x14ac:dyDescent="0.25">
      <c r="L29" t="s">
        <v>32</v>
      </c>
      <c r="M29">
        <v>4</v>
      </c>
    </row>
    <row r="30" spans="1:13" x14ac:dyDescent="0.25">
      <c r="A30" s="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115D-FAF8-4B8D-B783-060BA47F0111}">
  <dimension ref="A1:F27"/>
  <sheetViews>
    <sheetView workbookViewId="0">
      <selection activeCell="F25" sqref="F25"/>
    </sheetView>
  </sheetViews>
  <sheetFormatPr defaultRowHeight="15" x14ac:dyDescent="0.25"/>
  <cols>
    <col min="1" max="1" width="24" bestFit="1" customWidth="1"/>
    <col min="2" max="2" width="13.28515625" customWidth="1"/>
    <col min="3" max="3" width="10.5703125" customWidth="1"/>
    <col min="4" max="4" width="17.28515625" bestFit="1" customWidth="1"/>
    <col min="5" max="5" width="22.28515625" bestFit="1" customWidth="1"/>
    <col min="6" max="6" width="21.28515625" bestFit="1" customWidth="1"/>
  </cols>
  <sheetData>
    <row r="1" spans="1:6" x14ac:dyDescent="0.25">
      <c r="A1" t="s">
        <v>34</v>
      </c>
      <c r="B1" t="s">
        <v>16</v>
      </c>
      <c r="C1" t="s">
        <v>17</v>
      </c>
      <c r="D1" t="s">
        <v>132</v>
      </c>
      <c r="E1" t="s">
        <v>19</v>
      </c>
      <c r="F1" t="s">
        <v>35</v>
      </c>
    </row>
    <row r="2" spans="1:6" x14ac:dyDescent="0.25">
      <c r="A2" t="s">
        <v>36</v>
      </c>
      <c r="B2">
        <v>412.1</v>
      </c>
      <c r="C2">
        <v>1465</v>
      </c>
      <c r="D2">
        <v>1054</v>
      </c>
      <c r="E2">
        <v>16.899999999999999</v>
      </c>
      <c r="F2">
        <v>27.1</v>
      </c>
    </row>
    <row r="3" spans="1:6" x14ac:dyDescent="0.25">
      <c r="A3" t="s">
        <v>37</v>
      </c>
      <c r="B3">
        <v>313.2</v>
      </c>
      <c r="C3">
        <v>1638</v>
      </c>
      <c r="D3">
        <v>1164</v>
      </c>
      <c r="E3">
        <v>11.5</v>
      </c>
      <c r="F3">
        <v>20.6</v>
      </c>
    </row>
    <row r="4" spans="1:6" x14ac:dyDescent="0.25">
      <c r="A4" t="s">
        <v>38</v>
      </c>
      <c r="B4">
        <v>192.8</v>
      </c>
      <c r="C4">
        <v>1050</v>
      </c>
      <c r="D4">
        <v>739</v>
      </c>
      <c r="E4">
        <v>11</v>
      </c>
      <c r="F4">
        <v>12.7</v>
      </c>
    </row>
    <row r="5" spans="1:6" x14ac:dyDescent="0.25">
      <c r="A5" t="s">
        <v>39</v>
      </c>
      <c r="B5">
        <v>191.9</v>
      </c>
      <c r="C5">
        <v>952</v>
      </c>
      <c r="D5">
        <v>724</v>
      </c>
      <c r="E5">
        <v>12.1</v>
      </c>
      <c r="F5">
        <v>12.6</v>
      </c>
    </row>
    <row r="6" spans="1:6" x14ac:dyDescent="0.25">
      <c r="A6" t="s">
        <v>40</v>
      </c>
      <c r="B6">
        <v>90.7</v>
      </c>
      <c r="C6">
        <v>896</v>
      </c>
      <c r="D6">
        <v>731</v>
      </c>
      <c r="E6">
        <v>6.1</v>
      </c>
      <c r="F6">
        <v>6</v>
      </c>
    </row>
    <row r="7" spans="1:6" x14ac:dyDescent="0.25">
      <c r="A7" t="s">
        <v>41</v>
      </c>
      <c r="B7">
        <v>73.3</v>
      </c>
      <c r="C7">
        <v>714</v>
      </c>
      <c r="D7">
        <v>561</v>
      </c>
      <c r="E7">
        <v>6.2</v>
      </c>
      <c r="F7">
        <v>4.8</v>
      </c>
    </row>
    <row r="8" spans="1:6" x14ac:dyDescent="0.25">
      <c r="A8" t="s">
        <v>42</v>
      </c>
      <c r="B8">
        <v>70.3</v>
      </c>
      <c r="C8">
        <v>793</v>
      </c>
      <c r="D8">
        <v>660</v>
      </c>
      <c r="E8">
        <v>5.3</v>
      </c>
      <c r="F8">
        <v>4.5999999999999996</v>
      </c>
    </row>
    <row r="9" spans="1:6" x14ac:dyDescent="0.25">
      <c r="A9" t="s">
        <v>43</v>
      </c>
      <c r="B9">
        <v>67.8</v>
      </c>
      <c r="C9">
        <v>505</v>
      </c>
      <c r="D9">
        <v>370</v>
      </c>
      <c r="E9">
        <v>8.1</v>
      </c>
      <c r="F9">
        <v>4.5</v>
      </c>
    </row>
    <row r="10" spans="1:6" x14ac:dyDescent="0.25">
      <c r="A10" t="s">
        <v>44</v>
      </c>
      <c r="B10">
        <v>48.7</v>
      </c>
      <c r="C10">
        <v>859</v>
      </c>
      <c r="D10">
        <v>632</v>
      </c>
      <c r="E10">
        <v>3.4</v>
      </c>
      <c r="F10">
        <v>3.2</v>
      </c>
    </row>
    <row r="11" spans="1:6" x14ac:dyDescent="0.25">
      <c r="A11" t="s">
        <v>45</v>
      </c>
      <c r="B11">
        <v>37</v>
      </c>
      <c r="C11">
        <v>367</v>
      </c>
      <c r="D11">
        <v>333</v>
      </c>
      <c r="E11">
        <v>6</v>
      </c>
      <c r="F11">
        <v>2.4</v>
      </c>
    </row>
    <row r="27" spans="1:1" ht="120" x14ac:dyDescent="0.25">
      <c r="A27" s="1" t="s">
        <v>136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7B65-6E8D-4B87-BC67-F894D8EB1D39}">
  <dimension ref="A1:F31"/>
  <sheetViews>
    <sheetView workbookViewId="0">
      <selection activeCell="E26" sqref="E26"/>
    </sheetView>
  </sheetViews>
  <sheetFormatPr defaultRowHeight="15" x14ac:dyDescent="0.25"/>
  <cols>
    <col min="1" max="1" width="15.140625" bestFit="1" customWidth="1"/>
    <col min="2" max="2" width="13.5703125" bestFit="1" customWidth="1"/>
    <col min="3" max="3" width="10.7109375" customWidth="1"/>
    <col min="4" max="4" width="14.42578125" bestFit="1" customWidth="1"/>
    <col min="5" max="5" width="22.28515625" bestFit="1" customWidth="1"/>
    <col min="6" max="6" width="34.7109375" bestFit="1" customWidth="1"/>
    <col min="7" max="9" width="10.5703125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</v>
      </c>
    </row>
    <row r="2" spans="1:6" x14ac:dyDescent="0.25">
      <c r="A2" t="s">
        <v>26</v>
      </c>
      <c r="B2">
        <v>296</v>
      </c>
      <c r="C2">
        <v>1633</v>
      </c>
      <c r="D2">
        <v>1219</v>
      </c>
      <c r="E2">
        <v>10.9</v>
      </c>
      <c r="F2" t="s">
        <v>46</v>
      </c>
    </row>
    <row r="3" spans="1:6" x14ac:dyDescent="0.25">
      <c r="A3" t="s">
        <v>21</v>
      </c>
      <c r="B3">
        <v>114.9</v>
      </c>
      <c r="C3">
        <v>957</v>
      </c>
      <c r="D3">
        <v>769</v>
      </c>
      <c r="E3">
        <v>7.2</v>
      </c>
      <c r="F3" t="s">
        <v>47</v>
      </c>
    </row>
    <row r="31" spans="5:5" ht="135" x14ac:dyDescent="0.25">
      <c r="E31" s="1" t="s">
        <v>137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56E8-34CA-46EA-BC5B-40757BC40528}">
  <dimension ref="A1:D22"/>
  <sheetViews>
    <sheetView workbookViewId="0">
      <selection activeCell="B27" sqref="B27"/>
    </sheetView>
  </sheetViews>
  <sheetFormatPr defaultRowHeight="15" x14ac:dyDescent="0.25"/>
  <cols>
    <col min="1" max="1" width="24" bestFit="1" customWidth="1"/>
    <col min="2" max="2" width="16.28515625" bestFit="1" customWidth="1"/>
    <col min="3" max="3" width="19" bestFit="1" customWidth="1"/>
    <col min="4" max="4" width="22.28515625" bestFit="1" customWidth="1"/>
  </cols>
  <sheetData>
    <row r="1" spans="1:4" x14ac:dyDescent="0.25">
      <c r="A1" t="s">
        <v>34</v>
      </c>
      <c r="B1" t="s">
        <v>48</v>
      </c>
      <c r="C1" t="s">
        <v>49</v>
      </c>
      <c r="D1" t="s">
        <v>19</v>
      </c>
    </row>
    <row r="2" spans="1:4" x14ac:dyDescent="0.25">
      <c r="A2" t="s">
        <v>38</v>
      </c>
      <c r="B2">
        <v>23.7</v>
      </c>
      <c r="C2">
        <v>136</v>
      </c>
      <c r="D2">
        <v>10.5</v>
      </c>
    </row>
    <row r="3" spans="1:4" x14ac:dyDescent="0.25">
      <c r="A3" t="s">
        <v>39</v>
      </c>
      <c r="B3">
        <v>21.6</v>
      </c>
      <c r="C3">
        <v>115</v>
      </c>
      <c r="D3">
        <v>11.3</v>
      </c>
    </row>
    <row r="4" spans="1:4" x14ac:dyDescent="0.25">
      <c r="A4" t="s">
        <v>37</v>
      </c>
      <c r="B4">
        <v>12.9</v>
      </c>
      <c r="C4">
        <v>98</v>
      </c>
      <c r="D4">
        <v>7.9</v>
      </c>
    </row>
    <row r="5" spans="1:4" x14ac:dyDescent="0.25">
      <c r="A5" t="s">
        <v>36</v>
      </c>
      <c r="B5">
        <v>11.1</v>
      </c>
      <c r="C5">
        <v>69</v>
      </c>
      <c r="D5">
        <v>9.6999999999999993</v>
      </c>
    </row>
    <row r="6" spans="1:4" x14ac:dyDescent="0.25">
      <c r="A6" t="s">
        <v>40</v>
      </c>
      <c r="B6">
        <v>9.3000000000000007</v>
      </c>
      <c r="C6">
        <v>71</v>
      </c>
      <c r="D6">
        <v>7.9</v>
      </c>
    </row>
    <row r="22" spans="1:1" x14ac:dyDescent="0.25">
      <c r="A22" t="s">
        <v>138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D212-86D7-4748-98F9-A1A66B0E2B09}">
  <dimension ref="A1:C7"/>
  <sheetViews>
    <sheetView workbookViewId="0">
      <selection activeCell="L31" sqref="L31"/>
    </sheetView>
  </sheetViews>
  <sheetFormatPr defaultRowHeight="15" x14ac:dyDescent="0.25"/>
  <cols>
    <col min="1" max="1" width="17.28515625" customWidth="1"/>
    <col min="2" max="2" width="12.7109375" customWidth="1"/>
    <col min="3" max="3" width="12.28515625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>
        <v>5</v>
      </c>
      <c r="C2">
        <v>0.1</v>
      </c>
    </row>
    <row r="3" spans="1:3" x14ac:dyDescent="0.25">
      <c r="A3" t="s">
        <v>54</v>
      </c>
      <c r="B3">
        <v>268</v>
      </c>
      <c r="C3">
        <v>6.1</v>
      </c>
    </row>
    <row r="4" spans="1:3" x14ac:dyDescent="0.25">
      <c r="A4" t="s">
        <v>55</v>
      </c>
      <c r="B4">
        <v>3303</v>
      </c>
      <c r="C4">
        <v>75.3</v>
      </c>
    </row>
    <row r="5" spans="1:3" x14ac:dyDescent="0.25">
      <c r="A5" t="s">
        <v>56</v>
      </c>
      <c r="B5">
        <v>655</v>
      </c>
      <c r="C5">
        <v>14.9</v>
      </c>
    </row>
    <row r="6" spans="1:3" x14ac:dyDescent="0.25">
      <c r="A6" t="s">
        <v>57</v>
      </c>
      <c r="B6">
        <v>142</v>
      </c>
      <c r="C6">
        <v>3.2</v>
      </c>
    </row>
    <row r="7" spans="1:3" x14ac:dyDescent="0.25">
      <c r="A7" t="s">
        <v>58</v>
      </c>
      <c r="B7">
        <v>13</v>
      </c>
      <c r="C7">
        <v>0.3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5FA1-42AE-434D-AFAF-3EF620E64FB7}">
  <dimension ref="A1:E6"/>
  <sheetViews>
    <sheetView workbookViewId="0">
      <selection activeCell="E17" sqref="E17"/>
    </sheetView>
  </sheetViews>
  <sheetFormatPr defaultRowHeight="15" x14ac:dyDescent="0.25"/>
  <cols>
    <col min="1" max="1" width="15.7109375" bestFit="1" customWidth="1"/>
    <col min="2" max="2" width="14.42578125" bestFit="1" customWidth="1"/>
    <col min="3" max="3" width="11.140625" bestFit="1" customWidth="1"/>
    <col min="4" max="4" width="19.42578125" bestFit="1" customWidth="1"/>
    <col min="5" max="5" width="32.7109375" bestFit="1" customWidth="1"/>
  </cols>
  <sheetData>
    <row r="1" spans="1:5" x14ac:dyDescent="0.25">
      <c r="A1" t="s">
        <v>27</v>
      </c>
      <c r="B1" t="s">
        <v>18</v>
      </c>
      <c r="C1" t="s">
        <v>17</v>
      </c>
      <c r="D1" t="s">
        <v>59</v>
      </c>
      <c r="E1" t="s">
        <v>60</v>
      </c>
    </row>
    <row r="2" spans="1:5" x14ac:dyDescent="0.25">
      <c r="A2">
        <v>17</v>
      </c>
      <c r="B2">
        <v>584</v>
      </c>
      <c r="C2">
        <v>648</v>
      </c>
      <c r="D2">
        <v>1</v>
      </c>
      <c r="E2" t="s">
        <v>61</v>
      </c>
    </row>
    <row r="3" spans="1:5" x14ac:dyDescent="0.25">
      <c r="A3">
        <v>12</v>
      </c>
      <c r="B3">
        <v>571</v>
      </c>
      <c r="C3">
        <v>634</v>
      </c>
      <c r="D3">
        <v>2</v>
      </c>
      <c r="E3" t="s">
        <v>62</v>
      </c>
    </row>
    <row r="4" spans="1:5" x14ac:dyDescent="0.25">
      <c r="A4">
        <v>19</v>
      </c>
      <c r="B4">
        <v>564</v>
      </c>
      <c r="C4">
        <v>647</v>
      </c>
      <c r="D4">
        <v>3</v>
      </c>
      <c r="E4" t="s">
        <v>62</v>
      </c>
    </row>
    <row r="5" spans="1:5" x14ac:dyDescent="0.25">
      <c r="A5">
        <v>18</v>
      </c>
      <c r="B5">
        <v>562</v>
      </c>
      <c r="C5">
        <v>628</v>
      </c>
      <c r="D5">
        <v>4</v>
      </c>
      <c r="E5" t="s">
        <v>62</v>
      </c>
    </row>
    <row r="6" spans="1:5" x14ac:dyDescent="0.25">
      <c r="A6">
        <v>20</v>
      </c>
      <c r="B6">
        <v>561</v>
      </c>
      <c r="C6">
        <v>622</v>
      </c>
      <c r="D6">
        <v>5</v>
      </c>
      <c r="E6" t="s">
        <v>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A453-6242-41EE-A019-A464902B93E0}">
  <dimension ref="A1:E3"/>
  <sheetViews>
    <sheetView zoomScale="85" zoomScaleNormal="85" workbookViewId="0">
      <selection activeCell="A2" sqref="A2:E3"/>
    </sheetView>
  </sheetViews>
  <sheetFormatPr defaultRowHeight="15" x14ac:dyDescent="0.25"/>
  <cols>
    <col min="1" max="1" width="9.7109375" bestFit="1" customWidth="1"/>
    <col min="2" max="2" width="19" bestFit="1" customWidth="1"/>
    <col min="3" max="3" width="13.5703125" bestFit="1" customWidth="1"/>
    <col min="4" max="4" width="23.28515625" bestFit="1" customWidth="1"/>
    <col min="5" max="5" width="22.28515625" bestFit="1" customWidth="1"/>
    <col min="6" max="6" width="10.5703125" customWidth="1"/>
  </cols>
  <sheetData>
    <row r="1" spans="1:5" x14ac:dyDescent="0.25">
      <c r="A1" t="s">
        <v>63</v>
      </c>
      <c r="B1" t="s">
        <v>64</v>
      </c>
      <c r="C1" t="s">
        <v>16</v>
      </c>
      <c r="D1" t="s">
        <v>65</v>
      </c>
      <c r="E1" t="s">
        <v>19</v>
      </c>
    </row>
    <row r="2" spans="1:5" x14ac:dyDescent="0.25">
      <c r="A2" t="s">
        <v>66</v>
      </c>
      <c r="B2">
        <v>3723</v>
      </c>
      <c r="C2">
        <v>1348.2</v>
      </c>
      <c r="D2">
        <v>21.7</v>
      </c>
      <c r="E2">
        <v>9.1999999999999993</v>
      </c>
    </row>
    <row r="3" spans="1:5" x14ac:dyDescent="0.25">
      <c r="A3" t="s">
        <v>67</v>
      </c>
      <c r="B3">
        <v>488</v>
      </c>
      <c r="C3">
        <v>138.6</v>
      </c>
      <c r="D3">
        <v>17</v>
      </c>
      <c r="E3">
        <v>8.5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1286-AA73-41DA-99FF-B15743591B69}">
  <dimension ref="A1:D6"/>
  <sheetViews>
    <sheetView workbookViewId="0">
      <selection activeCell="A2" sqref="A2:D6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13.5703125" bestFit="1" customWidth="1"/>
    <col min="4" max="4" width="21.28515625" bestFit="1" customWidth="1"/>
  </cols>
  <sheetData>
    <row r="1" spans="1:4" x14ac:dyDescent="0.25">
      <c r="A1" t="s">
        <v>68</v>
      </c>
      <c r="B1" t="s">
        <v>64</v>
      </c>
      <c r="C1" t="s">
        <v>16</v>
      </c>
      <c r="D1" t="s">
        <v>69</v>
      </c>
    </row>
    <row r="2" spans="1:4" x14ac:dyDescent="0.25">
      <c r="A2" t="s">
        <v>70</v>
      </c>
      <c r="B2">
        <v>1607</v>
      </c>
      <c r="C2">
        <v>553.6</v>
      </c>
      <c r="D2">
        <v>20.7</v>
      </c>
    </row>
    <row r="3" spans="1:4" x14ac:dyDescent="0.25">
      <c r="A3" t="s">
        <v>71</v>
      </c>
      <c r="B3">
        <v>770</v>
      </c>
      <c r="C3">
        <v>300.3</v>
      </c>
      <c r="D3">
        <v>23.4</v>
      </c>
    </row>
    <row r="4" spans="1:4" x14ac:dyDescent="0.25">
      <c r="A4" t="s">
        <v>72</v>
      </c>
      <c r="B4">
        <v>448</v>
      </c>
      <c r="C4">
        <v>158.19999999999999</v>
      </c>
      <c r="D4">
        <v>21.2</v>
      </c>
    </row>
    <row r="5" spans="1:4" x14ac:dyDescent="0.25">
      <c r="A5" t="s">
        <v>73</v>
      </c>
      <c r="B5">
        <v>391</v>
      </c>
      <c r="C5">
        <v>130.69999999999999</v>
      </c>
      <c r="D5">
        <v>20.100000000000001</v>
      </c>
    </row>
    <row r="6" spans="1:4" x14ac:dyDescent="0.25">
      <c r="A6" t="s">
        <v>74</v>
      </c>
      <c r="B6">
        <v>271</v>
      </c>
      <c r="C6">
        <v>115.7</v>
      </c>
      <c r="D6">
        <v>25.6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238D-5A42-43BB-9785-664F76617184}">
  <dimension ref="A1:E29"/>
  <sheetViews>
    <sheetView topLeftCell="C1" workbookViewId="0">
      <selection activeCell="C1" sqref="C1"/>
    </sheetView>
  </sheetViews>
  <sheetFormatPr defaultRowHeight="15" x14ac:dyDescent="0.25"/>
  <cols>
    <col min="1" max="1" width="24" bestFit="1" customWidth="1"/>
    <col min="2" max="2" width="22.7109375" bestFit="1" customWidth="1"/>
    <col min="3" max="3" width="22.140625" bestFit="1" customWidth="1"/>
    <col min="4" max="4" width="12.7109375" bestFit="1" customWidth="1"/>
    <col min="5" max="5" width="25.140625" bestFit="1" customWidth="1"/>
  </cols>
  <sheetData>
    <row r="1" spans="1:5" x14ac:dyDescent="0.25">
      <c r="A1" t="s">
        <v>34</v>
      </c>
      <c r="B1" t="s">
        <v>75</v>
      </c>
      <c r="C1" t="s">
        <v>76</v>
      </c>
      <c r="D1" t="s">
        <v>77</v>
      </c>
      <c r="E1" t="s">
        <v>78</v>
      </c>
    </row>
    <row r="2" spans="1:5" x14ac:dyDescent="0.25">
      <c r="A2" t="s">
        <v>39</v>
      </c>
      <c r="B2">
        <v>11.3</v>
      </c>
      <c r="C2">
        <v>12.1</v>
      </c>
      <c r="D2">
        <v>-0.8</v>
      </c>
      <c r="E2" t="s">
        <v>79</v>
      </c>
    </row>
    <row r="3" spans="1:5" x14ac:dyDescent="0.25">
      <c r="A3" t="s">
        <v>38</v>
      </c>
      <c r="B3">
        <v>10.5</v>
      </c>
      <c r="C3">
        <v>11</v>
      </c>
      <c r="D3">
        <v>-0.6</v>
      </c>
      <c r="E3" t="s">
        <v>79</v>
      </c>
    </row>
    <row r="4" spans="1:5" x14ac:dyDescent="0.25">
      <c r="A4" t="s">
        <v>36</v>
      </c>
      <c r="B4">
        <v>9.6999999999999993</v>
      </c>
      <c r="C4">
        <v>16.899999999999999</v>
      </c>
      <c r="D4">
        <v>-7.2</v>
      </c>
      <c r="E4" t="s">
        <v>79</v>
      </c>
    </row>
    <row r="5" spans="1:5" x14ac:dyDescent="0.25">
      <c r="A5" t="s">
        <v>37</v>
      </c>
      <c r="B5">
        <v>7.9</v>
      </c>
      <c r="C5">
        <v>11.5</v>
      </c>
      <c r="D5">
        <v>-3.6</v>
      </c>
      <c r="E5" t="s">
        <v>79</v>
      </c>
    </row>
    <row r="6" spans="1:5" x14ac:dyDescent="0.25">
      <c r="A6" t="s">
        <v>40</v>
      </c>
      <c r="B6">
        <v>7.9</v>
      </c>
      <c r="C6">
        <v>6.1</v>
      </c>
      <c r="D6">
        <v>1.8</v>
      </c>
      <c r="E6" t="s">
        <v>80</v>
      </c>
    </row>
    <row r="29" spans="2:2" x14ac:dyDescent="0.25">
      <c r="B29" s="2" t="s">
        <v>139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321-EFA3-4E2C-AD77-5521CBE7D9FB}">
  <dimension ref="A1:P21"/>
  <sheetViews>
    <sheetView tabSelected="1" topLeftCell="A7" workbookViewId="0">
      <selection activeCell="F1" sqref="F1:Q21"/>
    </sheetView>
  </sheetViews>
  <sheetFormatPr defaultRowHeight="15" x14ac:dyDescent="0.25"/>
  <cols>
    <col min="1" max="1" width="9.140625" bestFit="1" customWidth="1"/>
    <col min="2" max="2" width="10.5703125" bestFit="1" customWidth="1"/>
    <col min="3" max="3" width="25.28515625" bestFit="1" customWidth="1"/>
    <col min="4" max="4" width="13.42578125" bestFit="1" customWidth="1"/>
    <col min="5" max="5" width="9.7109375" bestFit="1" customWidth="1"/>
    <col min="6" max="6" width="15.28515625" bestFit="1" customWidth="1"/>
    <col min="13" max="13" width="13.85546875" bestFit="1" customWidth="1"/>
    <col min="14" max="14" width="11.28515625" bestFit="1" customWidth="1"/>
    <col min="15" max="15" width="13.5703125" bestFit="1" customWidth="1"/>
    <col min="16" max="16" width="13.28515625" bestFit="1" customWidth="1"/>
  </cols>
  <sheetData>
    <row r="1" spans="1:16" x14ac:dyDescent="0.25">
      <c r="A1" t="s">
        <v>81</v>
      </c>
      <c r="B1" t="s">
        <v>82</v>
      </c>
      <c r="C1" t="s">
        <v>83</v>
      </c>
      <c r="D1" t="s">
        <v>68</v>
      </c>
      <c r="E1" t="s">
        <v>63</v>
      </c>
      <c r="F1" t="s">
        <v>84</v>
      </c>
      <c r="H1" t="s">
        <v>68</v>
      </c>
      <c r="I1" t="s">
        <v>63</v>
      </c>
      <c r="J1" t="s">
        <v>84</v>
      </c>
      <c r="K1" t="s">
        <v>128</v>
      </c>
      <c r="M1" t="s">
        <v>68</v>
      </c>
      <c r="N1" t="s">
        <v>129</v>
      </c>
      <c r="O1" t="s">
        <v>130</v>
      </c>
      <c r="P1" t="s">
        <v>131</v>
      </c>
    </row>
    <row r="2" spans="1:16" x14ac:dyDescent="0.25">
      <c r="A2">
        <v>34</v>
      </c>
      <c r="B2" t="s">
        <v>85</v>
      </c>
      <c r="C2" t="s">
        <v>86</v>
      </c>
      <c r="D2" t="s">
        <v>87</v>
      </c>
      <c r="E2" t="s">
        <v>66</v>
      </c>
      <c r="F2" t="s">
        <v>88</v>
      </c>
      <c r="H2" t="s">
        <v>70</v>
      </c>
      <c r="I2" t="s">
        <v>66</v>
      </c>
      <c r="J2" t="s">
        <v>103</v>
      </c>
      <c r="K2">
        <v>6</v>
      </c>
      <c r="M2" t="s">
        <v>70</v>
      </c>
      <c r="N2">
        <v>9</v>
      </c>
      <c r="O2">
        <v>2</v>
      </c>
      <c r="P2">
        <v>11</v>
      </c>
    </row>
    <row r="3" spans="1:16" x14ac:dyDescent="0.25">
      <c r="A3">
        <v>39</v>
      </c>
      <c r="B3" t="s">
        <v>89</v>
      </c>
      <c r="C3" t="s">
        <v>90</v>
      </c>
      <c r="D3" t="s">
        <v>74</v>
      </c>
      <c r="E3" t="s">
        <v>66</v>
      </c>
      <c r="F3" t="s">
        <v>88</v>
      </c>
      <c r="H3" t="s">
        <v>70</v>
      </c>
      <c r="I3" t="s">
        <v>66</v>
      </c>
      <c r="J3" t="s">
        <v>88</v>
      </c>
      <c r="K3">
        <v>3</v>
      </c>
      <c r="M3" t="s">
        <v>74</v>
      </c>
      <c r="N3">
        <v>3</v>
      </c>
      <c r="O3">
        <v>0</v>
      </c>
      <c r="P3">
        <v>3</v>
      </c>
    </row>
    <row r="4" spans="1:16" x14ac:dyDescent="0.25">
      <c r="A4">
        <v>63</v>
      </c>
      <c r="B4" t="s">
        <v>91</v>
      </c>
      <c r="C4" t="s">
        <v>92</v>
      </c>
      <c r="D4" t="s">
        <v>72</v>
      </c>
      <c r="E4" t="s">
        <v>66</v>
      </c>
      <c r="F4" t="s">
        <v>88</v>
      </c>
      <c r="H4" t="s">
        <v>70</v>
      </c>
      <c r="I4" t="s">
        <v>67</v>
      </c>
      <c r="J4" t="s">
        <v>103</v>
      </c>
      <c r="K4">
        <v>1</v>
      </c>
      <c r="M4" t="s">
        <v>71</v>
      </c>
      <c r="N4">
        <v>3</v>
      </c>
      <c r="O4">
        <v>0</v>
      </c>
      <c r="P4">
        <v>3</v>
      </c>
    </row>
    <row r="5" spans="1:16" x14ac:dyDescent="0.25">
      <c r="A5">
        <v>90</v>
      </c>
      <c r="B5" t="s">
        <v>93</v>
      </c>
      <c r="C5" t="s">
        <v>94</v>
      </c>
      <c r="D5" t="s">
        <v>72</v>
      </c>
      <c r="E5" t="s">
        <v>66</v>
      </c>
      <c r="F5" t="s">
        <v>88</v>
      </c>
      <c r="H5" t="s">
        <v>70</v>
      </c>
      <c r="I5" t="s">
        <v>67</v>
      </c>
      <c r="J5" t="s">
        <v>88</v>
      </c>
      <c r="K5">
        <v>1</v>
      </c>
      <c r="M5" t="s">
        <v>87</v>
      </c>
      <c r="N5">
        <v>2</v>
      </c>
      <c r="O5">
        <v>0</v>
      </c>
      <c r="P5">
        <v>2</v>
      </c>
    </row>
    <row r="6" spans="1:16" x14ac:dyDescent="0.25">
      <c r="A6">
        <v>104</v>
      </c>
      <c r="B6" t="s">
        <v>95</v>
      </c>
      <c r="C6" t="s">
        <v>96</v>
      </c>
      <c r="D6" t="s">
        <v>70</v>
      </c>
      <c r="E6" t="s">
        <v>66</v>
      </c>
      <c r="F6" t="s">
        <v>88</v>
      </c>
      <c r="H6" t="s">
        <v>74</v>
      </c>
      <c r="I6" t="s">
        <v>66</v>
      </c>
      <c r="J6" t="s">
        <v>103</v>
      </c>
      <c r="K6">
        <v>2</v>
      </c>
      <c r="M6" t="s">
        <v>72</v>
      </c>
      <c r="N6">
        <v>2</v>
      </c>
      <c r="O6">
        <v>0</v>
      </c>
      <c r="P6">
        <v>2</v>
      </c>
    </row>
    <row r="7" spans="1:16" x14ac:dyDescent="0.25">
      <c r="A7">
        <v>107</v>
      </c>
      <c r="B7" t="s">
        <v>97</v>
      </c>
      <c r="C7" t="s">
        <v>98</v>
      </c>
      <c r="D7" t="s">
        <v>70</v>
      </c>
      <c r="E7" t="s">
        <v>67</v>
      </c>
      <c r="F7" t="s">
        <v>88</v>
      </c>
      <c r="H7" t="s">
        <v>74</v>
      </c>
      <c r="I7" t="s">
        <v>66</v>
      </c>
      <c r="J7" t="s">
        <v>88</v>
      </c>
      <c r="K7">
        <v>1</v>
      </c>
      <c r="M7" t="s">
        <v>116</v>
      </c>
      <c r="N7">
        <v>1</v>
      </c>
      <c r="O7">
        <v>0</v>
      </c>
      <c r="P7">
        <v>1</v>
      </c>
    </row>
    <row r="8" spans="1:16" x14ac:dyDescent="0.25">
      <c r="A8">
        <v>108</v>
      </c>
      <c r="B8" t="s">
        <v>85</v>
      </c>
      <c r="C8" t="s">
        <v>99</v>
      </c>
      <c r="D8" t="s">
        <v>71</v>
      </c>
      <c r="E8" t="s">
        <v>66</v>
      </c>
      <c r="F8" t="s">
        <v>88</v>
      </c>
      <c r="H8" t="s">
        <v>71</v>
      </c>
      <c r="I8" t="s">
        <v>66</v>
      </c>
      <c r="J8" t="s">
        <v>103</v>
      </c>
      <c r="K8">
        <v>1</v>
      </c>
      <c r="M8" t="s">
        <v>121</v>
      </c>
      <c r="N8">
        <v>1</v>
      </c>
      <c r="O8">
        <v>0</v>
      </c>
      <c r="P8">
        <v>1</v>
      </c>
    </row>
    <row r="9" spans="1:16" x14ac:dyDescent="0.25">
      <c r="A9">
        <v>120</v>
      </c>
      <c r="B9" t="s">
        <v>100</v>
      </c>
      <c r="C9" t="s">
        <v>101</v>
      </c>
      <c r="D9" t="s">
        <v>71</v>
      </c>
      <c r="E9" t="s">
        <v>66</v>
      </c>
      <c r="F9" t="s">
        <v>88</v>
      </c>
      <c r="H9" t="s">
        <v>71</v>
      </c>
      <c r="I9" t="s">
        <v>66</v>
      </c>
      <c r="J9" t="s">
        <v>88</v>
      </c>
      <c r="K9">
        <v>2</v>
      </c>
    </row>
    <row r="10" spans="1:16" x14ac:dyDescent="0.25">
      <c r="A10">
        <v>135</v>
      </c>
      <c r="B10" t="s">
        <v>91</v>
      </c>
      <c r="C10" t="s">
        <v>102</v>
      </c>
      <c r="D10" t="s">
        <v>70</v>
      </c>
      <c r="E10" t="s">
        <v>66</v>
      </c>
      <c r="F10" t="s">
        <v>103</v>
      </c>
      <c r="H10" t="s">
        <v>87</v>
      </c>
      <c r="I10" t="s">
        <v>66</v>
      </c>
      <c r="J10" t="s">
        <v>103</v>
      </c>
      <c r="K10">
        <v>1</v>
      </c>
    </row>
    <row r="11" spans="1:16" x14ac:dyDescent="0.25">
      <c r="A11">
        <v>138</v>
      </c>
      <c r="B11" t="s">
        <v>104</v>
      </c>
      <c r="C11" t="s">
        <v>105</v>
      </c>
      <c r="D11" t="s">
        <v>74</v>
      </c>
      <c r="E11" t="s">
        <v>66</v>
      </c>
      <c r="F11" t="s">
        <v>103</v>
      </c>
      <c r="H11" t="s">
        <v>87</v>
      </c>
      <c r="I11" t="s">
        <v>66</v>
      </c>
      <c r="J11" t="s">
        <v>88</v>
      </c>
      <c r="K11">
        <v>1</v>
      </c>
    </row>
    <row r="12" spans="1:16" x14ac:dyDescent="0.25">
      <c r="A12">
        <v>146</v>
      </c>
      <c r="B12" t="s">
        <v>106</v>
      </c>
      <c r="C12" t="s">
        <v>107</v>
      </c>
      <c r="D12" t="s">
        <v>71</v>
      </c>
      <c r="E12" t="s">
        <v>66</v>
      </c>
      <c r="F12" t="s">
        <v>103</v>
      </c>
      <c r="H12" t="s">
        <v>72</v>
      </c>
      <c r="I12" t="s">
        <v>66</v>
      </c>
      <c r="J12" t="s">
        <v>103</v>
      </c>
      <c r="K12">
        <v>1</v>
      </c>
    </row>
    <row r="13" spans="1:16" x14ac:dyDescent="0.25">
      <c r="A13">
        <v>164</v>
      </c>
      <c r="B13" t="s">
        <v>108</v>
      </c>
      <c r="C13" t="s">
        <v>109</v>
      </c>
      <c r="D13" t="s">
        <v>70</v>
      </c>
      <c r="E13" t="s">
        <v>66</v>
      </c>
      <c r="F13" t="s">
        <v>103</v>
      </c>
      <c r="H13" t="s">
        <v>72</v>
      </c>
      <c r="I13" t="s">
        <v>66</v>
      </c>
      <c r="J13" t="s">
        <v>88</v>
      </c>
      <c r="K13">
        <v>1</v>
      </c>
    </row>
    <row r="14" spans="1:16" x14ac:dyDescent="0.25">
      <c r="A14">
        <v>206</v>
      </c>
      <c r="B14" t="s">
        <v>110</v>
      </c>
      <c r="C14" t="s">
        <v>111</v>
      </c>
      <c r="D14" t="s">
        <v>87</v>
      </c>
      <c r="E14" t="s">
        <v>66</v>
      </c>
      <c r="F14" t="s">
        <v>103</v>
      </c>
      <c r="H14" t="s">
        <v>116</v>
      </c>
      <c r="I14" t="s">
        <v>66</v>
      </c>
      <c r="J14" t="s">
        <v>103</v>
      </c>
      <c r="K14">
        <v>1</v>
      </c>
    </row>
    <row r="15" spans="1:16" x14ac:dyDescent="0.25">
      <c r="A15">
        <v>305</v>
      </c>
      <c r="B15" t="s">
        <v>112</v>
      </c>
      <c r="C15" t="s">
        <v>113</v>
      </c>
      <c r="D15" t="s">
        <v>74</v>
      </c>
      <c r="E15" t="s">
        <v>66</v>
      </c>
      <c r="F15" t="s">
        <v>103</v>
      </c>
      <c r="H15" t="s">
        <v>121</v>
      </c>
      <c r="I15" t="s">
        <v>66</v>
      </c>
      <c r="J15" t="s">
        <v>103</v>
      </c>
      <c r="K15">
        <v>1</v>
      </c>
    </row>
    <row r="16" spans="1:16" x14ac:dyDescent="0.25">
      <c r="A16">
        <v>317</v>
      </c>
      <c r="B16" t="s">
        <v>114</v>
      </c>
      <c r="C16" t="s">
        <v>115</v>
      </c>
      <c r="D16" t="s">
        <v>116</v>
      </c>
      <c r="E16" t="s">
        <v>66</v>
      </c>
      <c r="F16" t="s">
        <v>103</v>
      </c>
    </row>
    <row r="17" spans="1:6" x14ac:dyDescent="0.25">
      <c r="A17">
        <v>325</v>
      </c>
      <c r="B17" t="s">
        <v>117</v>
      </c>
      <c r="C17" t="s">
        <v>118</v>
      </c>
      <c r="D17" t="s">
        <v>70</v>
      </c>
      <c r="E17" t="s">
        <v>67</v>
      </c>
      <c r="F17" t="s">
        <v>103</v>
      </c>
    </row>
    <row r="18" spans="1:6" x14ac:dyDescent="0.25">
      <c r="A18">
        <v>338</v>
      </c>
      <c r="B18" t="s">
        <v>119</v>
      </c>
      <c r="C18" t="s">
        <v>120</v>
      </c>
      <c r="D18" t="s">
        <v>121</v>
      </c>
      <c r="E18" t="s">
        <v>66</v>
      </c>
      <c r="F18" t="s">
        <v>103</v>
      </c>
    </row>
    <row r="19" spans="1:6" x14ac:dyDescent="0.25">
      <c r="A19">
        <v>345</v>
      </c>
      <c r="B19" t="s">
        <v>122</v>
      </c>
      <c r="C19" t="s">
        <v>123</v>
      </c>
      <c r="D19" t="s">
        <v>70</v>
      </c>
      <c r="E19" t="s">
        <v>66</v>
      </c>
      <c r="F19" t="s">
        <v>103</v>
      </c>
    </row>
    <row r="20" spans="1:6" x14ac:dyDescent="0.25">
      <c r="A20">
        <v>385</v>
      </c>
      <c r="B20" t="s">
        <v>124</v>
      </c>
      <c r="C20" t="s">
        <v>125</v>
      </c>
      <c r="D20" t="s">
        <v>70</v>
      </c>
      <c r="E20" t="s">
        <v>66</v>
      </c>
      <c r="F20" t="s">
        <v>103</v>
      </c>
    </row>
    <row r="21" spans="1:6" x14ac:dyDescent="0.25">
      <c r="A21">
        <v>444</v>
      </c>
      <c r="B21" t="s">
        <v>126</v>
      </c>
      <c r="C21" t="s">
        <v>127</v>
      </c>
      <c r="D21" t="s">
        <v>70</v>
      </c>
      <c r="E21" t="s">
        <v>66</v>
      </c>
      <c r="F21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Executive Summary</vt:lpstr>
      <vt:lpstr>2. Weekly Consumption Pattern</vt:lpstr>
      <vt:lpstr>3. Hourly Consumption Pattern</vt:lpstr>
      <vt:lpstr>4. Top 10 Channels</vt:lpstr>
      <vt:lpstr>5. Monday vs Saturday Compariso</vt:lpstr>
      <vt:lpstr>6. Top 5 Channels on Monday</vt:lpstr>
      <vt:lpstr>7. User Engagement Tiers</vt:lpstr>
      <vt:lpstr>8. Best Times for Push Notifica</vt:lpstr>
      <vt:lpstr>9. Gender Analysis</vt:lpstr>
      <vt:lpstr>10. Province Analysis</vt:lpstr>
      <vt:lpstr>11. What Channels Perform Best </vt:lpstr>
      <vt:lpstr>12. Who Are the Inactive 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Afika Makhinyana</cp:lastModifiedBy>
  <cp:revision/>
  <dcterms:created xsi:type="dcterms:W3CDTF">2026-04-13T17:27:44Z</dcterms:created>
  <dcterms:modified xsi:type="dcterms:W3CDTF">2026-04-18T12:55:01Z</dcterms:modified>
  <cp:category/>
  <cp:contentStatus/>
</cp:coreProperties>
</file>